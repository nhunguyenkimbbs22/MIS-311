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hidePivotFieldList="1"/>
  <mc:AlternateContent xmlns:mc="http://schemas.openxmlformats.org/markup-compatibility/2006">
    <mc:Choice Requires="x15">
      <x15ac:absPath xmlns:x15ac="http://schemas.microsoft.com/office/spreadsheetml/2010/11/ac" url="/Users/g.kmnhu/Documents/MIS 311/Individual Assignment/"/>
    </mc:Choice>
  </mc:AlternateContent>
  <xr:revisionPtr revIDLastSave="0" documentId="13_ncr:1_{D6C6B949-06F1-474A-80C3-04E2F70F3599}" xr6:coauthVersionLast="47" xr6:coauthVersionMax="47" xr10:uidLastSave="{00000000-0000-0000-0000-000000000000}"/>
  <bookViews>
    <workbookView xWindow="4340" yWindow="500" windowWidth="24460" windowHeight="16340" xr2:uid="{CAB431F2-38F9-42E6-AE5E-56D1E28251B5}"/>
  </bookViews>
  <sheets>
    <sheet name="Student Performance" sheetId="4" r:id="rId1"/>
  </sheets>
  <calcPr calcId="191029"/>
  <pivotCaches>
    <pivotCache cacheId="31" r:id="rId2"/>
    <pivotCache cacheId="4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9" i="4" l="1"/>
  <c r="H93" i="4"/>
  <c r="H78" i="4"/>
  <c r="H61" i="4"/>
  <c r="H45" i="4"/>
  <c r="H33" i="4"/>
  <c r="H20" i="4"/>
</calcChain>
</file>

<file path=xl/sharedStrings.xml><?xml version="1.0" encoding="utf-8"?>
<sst xmlns="http://schemas.openxmlformats.org/spreadsheetml/2006/main" count="430" uniqueCount="25">
  <si>
    <t>group B</t>
  </si>
  <si>
    <t>bachelor's degree</t>
  </si>
  <si>
    <t>group C</t>
  </si>
  <si>
    <t>some college</t>
  </si>
  <si>
    <t>master's degree</t>
  </si>
  <si>
    <t>group A</t>
  </si>
  <si>
    <t>associate's degree</t>
  </si>
  <si>
    <t>group D</t>
  </si>
  <si>
    <t>high school</t>
  </si>
  <si>
    <t>some high school</t>
  </si>
  <si>
    <t>group E</t>
  </si>
  <si>
    <t>Grand Total</t>
  </si>
  <si>
    <t>Count of race_ethnicity</t>
  </si>
  <si>
    <t>Parental level of Education</t>
  </si>
  <si>
    <t>Race Ethnicity</t>
  </si>
  <si>
    <t>Math Score</t>
  </si>
  <si>
    <t>Reading Score</t>
  </si>
  <si>
    <t>Writing Score</t>
  </si>
  <si>
    <t>Total Score</t>
  </si>
  <si>
    <t>Average Score</t>
  </si>
  <si>
    <t>Gender</t>
  </si>
  <si>
    <t>Average of Math Score</t>
  </si>
  <si>
    <t>Average of Reading Score</t>
  </si>
  <si>
    <t>Average of Writing Score</t>
  </si>
  <si>
    <t>Average of Total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</si>
</sst>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2" fontId="0" fillId="33" borderId="0" xfId="0" applyNumberForma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pivotButton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[06_Student Perfomance.xlsx]Student Performance!PivotTable17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of Total Score by Parental level of education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'Student Performance'!$K$7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'Student Performance'!$J$8:$J$14</c:f>
              <c:strCache>
                <c:ptCount val="6"/>
                <c:pt idx="0">
                  <c:v>associate's degree</c:v>
                </c:pt>
                <c:pt idx="1">
                  <c:v>bachelor's degree</c:v>
                </c:pt>
                <c:pt idx="2">
                  <c:v>high school</c:v>
                </c:pt>
                <c:pt idx="3">
                  <c:v>master's degree</c:v>
                </c:pt>
                <c:pt idx="4">
                  <c:v>some college</c:v>
                </c:pt>
                <c:pt idx="5">
                  <c:v>some high school</c:v>
                </c:pt>
              </c:strCache>
            </c:strRef>
          </c:cat>
          <c:val>
            <c:numRef>
              <c:f>'Student Performance'!$K$8:$K$14</c:f>
              <c:numCache>
                <c:formatCode>0.00</c:formatCode>
                <c:ptCount val="6"/>
                <c:pt idx="0">
                  <c:v>195.60784313725489</c:v>
                </c:pt>
                <c:pt idx="1">
                  <c:v>219.0952380952381</c:v>
                </c:pt>
                <c:pt idx="2">
                  <c:v>186.86666666666667</c:v>
                </c:pt>
                <c:pt idx="3">
                  <c:v>216.8235294117647</c:v>
                </c:pt>
                <c:pt idx="4">
                  <c:v>203.10204081632654</c:v>
                </c:pt>
                <c:pt idx="5">
                  <c:v>181.38709677419354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2F-1740-BFB1-029B3BEAE3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90940928"/>
        <c:axId val="1190920976"/>
      </c:barChart>
      <c:catAx>
        <c:axId val="1190940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Parental Level of Education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190920976"/>
        <c:crosses val="autoZero"/>
        <c:auto val="1"/>
        <c:lblAlgn val="ctr"/>
        <c:lblOffset val="100"/>
        <c:noMultiLvlLbl val="0"/>
      </c:catAx>
      <c:valAx>
        <c:axId val="119092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 of Total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19094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Subject Scores by Ethnic Groups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ivotFmts>
      <c:pivotFmt>
        <c:idx val="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Average of Math Score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group A</c:v>
              </c:pt>
              <c:pt idx="1">
                <c:v>group B</c:v>
              </c:pt>
              <c:pt idx="2">
                <c:v>group C</c:v>
              </c:pt>
              <c:pt idx="3">
                <c:v>group D</c:v>
              </c:pt>
              <c:pt idx="4">
                <c:v>group E</c:v>
              </c:pt>
            </c:strLit>
          </c:cat>
          <c:val>
            <c:numLit>
              <c:formatCode>General</c:formatCode>
              <c:ptCount val="5"/>
              <c:pt idx="0">
                <c:v>59.176470588235297</c:v>
              </c:pt>
              <c:pt idx="1">
                <c:v>62.272727272727273</c:v>
              </c:pt>
              <c:pt idx="2">
                <c:v>62.283333333333331</c:v>
              </c:pt>
              <c:pt idx="3">
                <c:v>66.274509803921575</c:v>
              </c:pt>
              <c:pt idx="4">
                <c:v>70.962962962962962</c:v>
              </c:pt>
            </c:numLit>
          </c:val>
          <c:extLst>
            <c:ext xmlns:c16="http://schemas.microsoft.com/office/drawing/2014/chart" uri="{C3380CC4-5D6E-409C-BE32-E72D297353CC}">
              <c16:uniqueId val="{00000000-118C-9C42-9D3E-AB1E5DF1407B}"/>
            </c:ext>
          </c:extLst>
        </c:ser>
        <c:ser>
          <c:idx val="1"/>
          <c:order val="1"/>
          <c:tx>
            <c:v>Average of Reading Score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group A</c:v>
              </c:pt>
              <c:pt idx="1">
                <c:v>group B</c:v>
              </c:pt>
              <c:pt idx="2">
                <c:v>group C</c:v>
              </c:pt>
              <c:pt idx="3">
                <c:v>group D</c:v>
              </c:pt>
              <c:pt idx="4">
                <c:v>group E</c:v>
              </c:pt>
            </c:strLit>
          </c:cat>
          <c:val>
            <c:numLit>
              <c:formatCode>General</c:formatCode>
              <c:ptCount val="5"/>
              <c:pt idx="0">
                <c:v>59.941176470588232</c:v>
              </c:pt>
              <c:pt idx="1">
                <c:v>66.409090909090907</c:v>
              </c:pt>
              <c:pt idx="2">
                <c:v>67.7</c:v>
              </c:pt>
              <c:pt idx="3">
                <c:v>69.215686274509807</c:v>
              </c:pt>
              <c:pt idx="4">
                <c:v>71.296296296296291</c:v>
              </c:pt>
            </c:numLit>
          </c:val>
          <c:extLst>
            <c:ext xmlns:c16="http://schemas.microsoft.com/office/drawing/2014/chart" uri="{C3380CC4-5D6E-409C-BE32-E72D297353CC}">
              <c16:uniqueId val="{00000001-118C-9C42-9D3E-AB1E5DF1407B}"/>
            </c:ext>
          </c:extLst>
        </c:ser>
        <c:ser>
          <c:idx val="2"/>
          <c:order val="2"/>
          <c:tx>
            <c:v>Average of Writing Score</c:v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group A</c:v>
              </c:pt>
              <c:pt idx="1">
                <c:v>group B</c:v>
              </c:pt>
              <c:pt idx="2">
                <c:v>group C</c:v>
              </c:pt>
              <c:pt idx="3">
                <c:v>group D</c:v>
              </c:pt>
              <c:pt idx="4">
                <c:v>group E</c:v>
              </c:pt>
            </c:strLit>
          </c:cat>
          <c:val>
            <c:numLit>
              <c:formatCode>General</c:formatCode>
              <c:ptCount val="5"/>
              <c:pt idx="0">
                <c:v>58.882352941176471</c:v>
              </c:pt>
              <c:pt idx="1">
                <c:v>64.590909090909093</c:v>
              </c:pt>
              <c:pt idx="2">
                <c:v>66.916666666666671</c:v>
              </c:pt>
              <c:pt idx="3">
                <c:v>68.588235294117652</c:v>
              </c:pt>
              <c:pt idx="4">
                <c:v>68.555555555555557</c:v>
              </c:pt>
            </c:numLit>
          </c:val>
          <c:extLst>
            <c:ext xmlns:c16="http://schemas.microsoft.com/office/drawing/2014/chart" uri="{C3380CC4-5D6E-409C-BE32-E72D297353CC}">
              <c16:uniqueId val="{00000002-118C-9C42-9D3E-AB1E5DF14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8535504"/>
        <c:axId val="1788537776"/>
      </c:barChart>
      <c:catAx>
        <c:axId val="1788535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Ethnic Groups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788537776"/>
        <c:crosses val="autoZero"/>
        <c:auto val="1"/>
        <c:lblAlgn val="ctr"/>
        <c:lblOffset val="100"/>
        <c:noMultiLvlLbl val="0"/>
      </c:catAx>
      <c:valAx>
        <c:axId val="178853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78853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63500</xdr:colOff>
      <xdr:row>15</xdr:row>
      <xdr:rowOff>152400</xdr:rowOff>
    </xdr:from>
    <xdr:to>
      <xdr:col>14</xdr:col>
      <xdr:colOff>381000</xdr:colOff>
      <xdr:row>36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2B83FE-8248-A60E-6F4A-E2AA43E42C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50800</xdr:colOff>
      <xdr:row>47</xdr:row>
      <xdr:rowOff>50800</xdr:rowOff>
    </xdr:from>
    <xdr:to>
      <xdr:col>14</xdr:col>
      <xdr:colOff>749300</xdr:colOff>
      <xdr:row>67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F0FF8F-901F-B041-A329-F60E2E9376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59.591247800927" createdVersion="7" refreshedVersion="7" minRefreshableVersion="3" recordCount="199" xr:uid="{285ABB03-C16C-944C-A054-4FA40DD24141}">
  <cacheSource type="worksheet">
    <worksheetSource name="Table1"/>
  </cacheSource>
  <cacheFields count="8">
    <cacheField name="gender" numFmtId="0">
      <sharedItems containsSemiMixedTypes="0" containsString="0" containsNumber="1" containsInteger="1" minValue="0" maxValue="1" count="2">
        <n v="0"/>
        <n v="1"/>
      </sharedItems>
    </cacheField>
    <cacheField name="race_ethnicity" numFmtId="0">
      <sharedItems count="5">
        <s v="group B"/>
        <s v="group C"/>
        <s v="group A"/>
        <s v="group D"/>
        <s v="group E"/>
      </sharedItems>
    </cacheField>
    <cacheField name="parental_level_of_education" numFmtId="0">
      <sharedItems containsBlank="1" count="7">
        <s v="bachelor's degree"/>
        <s v="some college"/>
        <s v="master's degree"/>
        <s v="associate's degree"/>
        <s v="high school"/>
        <s v="some high school"/>
        <m/>
      </sharedItems>
    </cacheField>
    <cacheField name="math_score" numFmtId="0">
      <sharedItems containsSemiMixedTypes="0" containsString="0" containsNumber="1" containsInteger="1" minValue="0" maxValue="100"/>
    </cacheField>
    <cacheField name="reading_score" numFmtId="0">
      <sharedItems containsSemiMixedTypes="0" containsString="0" containsNumber="1" containsInteger="1" minValue="17" maxValue="100"/>
    </cacheField>
    <cacheField name="writing_score" numFmtId="0">
      <sharedItems containsSemiMixedTypes="0" containsString="0" containsNumber="1" containsInteger="1" minValue="10" maxValue="100"/>
    </cacheField>
    <cacheField name="total_score" numFmtId="0">
      <sharedItems containsSemiMixedTypes="0" containsString="0" containsNumber="1" containsInteger="1" minValue="27" maxValue="299"/>
    </cacheField>
    <cacheField name="average_score" numFmtId="2">
      <sharedItems containsSemiMixedTypes="0" containsString="0" containsNumber="1" minValue="9" maxValue="99.66666666666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66.375700115743" createdVersion="8" refreshedVersion="8" minRefreshableVersion="3" recordCount="199" xr:uid="{52F416C4-C714-584C-B467-BC466C79C5CA}">
  <cacheSource type="worksheet">
    <worksheetSource name="Table14"/>
  </cacheSource>
  <cacheFields count="8">
    <cacheField name="Gender" numFmtId="0">
      <sharedItems containsSemiMixedTypes="0" containsString="0" containsNumber="1" containsInteger="1" minValue="0" maxValue="1"/>
    </cacheField>
    <cacheField name="Race Ethnicity" numFmtId="0">
      <sharedItems/>
    </cacheField>
    <cacheField name="Parental level of Education" numFmtId="0">
      <sharedItems count="6">
        <s v="bachelor's degree"/>
        <s v="some college"/>
        <s v="master's degree"/>
        <s v="associate's degree"/>
        <s v="high school"/>
        <s v="some high school"/>
      </sharedItems>
    </cacheField>
    <cacheField name="Math Score" numFmtId="0">
      <sharedItems containsSemiMixedTypes="0" containsString="0" containsNumber="1" containsInteger="1" minValue="0" maxValue="100"/>
    </cacheField>
    <cacheField name="Reading Score" numFmtId="0">
      <sharedItems containsSemiMixedTypes="0" containsString="0" containsNumber="1" containsInteger="1" minValue="17" maxValue="100"/>
    </cacheField>
    <cacheField name="Writing Score" numFmtId="0">
      <sharedItems containsSemiMixedTypes="0" containsString="0" containsNumber="1" containsInteger="1" minValue="10" maxValue="100"/>
    </cacheField>
    <cacheField name="Total Score" numFmtId="0">
      <sharedItems containsSemiMixedTypes="0" containsString="0" containsNumber="1" containsInteger="1" minValue="27" maxValue="299"/>
    </cacheField>
    <cacheField name="Average Score" numFmtId="2">
      <sharedItems containsSemiMixedTypes="0" containsString="0" containsNumber="1" minValue="9" maxValue="99.66666666666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x v="0"/>
    <x v="0"/>
    <x v="0"/>
    <n v="72"/>
    <n v="72"/>
    <n v="74"/>
    <n v="218"/>
    <n v="72.6666666666666"/>
  </r>
  <r>
    <x v="0"/>
    <x v="1"/>
    <x v="1"/>
    <n v="69"/>
    <n v="90"/>
    <n v="88"/>
    <n v="247"/>
    <n v="82.3333333333333"/>
  </r>
  <r>
    <x v="0"/>
    <x v="0"/>
    <x v="2"/>
    <n v="90"/>
    <n v="95"/>
    <n v="93"/>
    <n v="278"/>
    <n v="92.6666666666666"/>
  </r>
  <r>
    <x v="1"/>
    <x v="2"/>
    <x v="3"/>
    <n v="47"/>
    <n v="57"/>
    <n v="44"/>
    <n v="148"/>
    <n v="49.3333333333333"/>
  </r>
  <r>
    <x v="1"/>
    <x v="1"/>
    <x v="1"/>
    <n v="76"/>
    <n v="78"/>
    <n v="75"/>
    <n v="229"/>
    <n v="76.3333333333333"/>
  </r>
  <r>
    <x v="0"/>
    <x v="0"/>
    <x v="3"/>
    <n v="71"/>
    <n v="83"/>
    <n v="78"/>
    <n v="232"/>
    <n v="77.3333333333333"/>
  </r>
  <r>
    <x v="0"/>
    <x v="0"/>
    <x v="1"/>
    <n v="88"/>
    <n v="95"/>
    <n v="92"/>
    <n v="275"/>
    <n v="91.6666666666666"/>
  </r>
  <r>
    <x v="1"/>
    <x v="0"/>
    <x v="1"/>
    <n v="40"/>
    <n v="43"/>
    <n v="39"/>
    <n v="122"/>
    <n v="40.6666666666666"/>
  </r>
  <r>
    <x v="1"/>
    <x v="3"/>
    <x v="4"/>
    <n v="64"/>
    <n v="64"/>
    <n v="67"/>
    <n v="195"/>
    <n v="65"/>
  </r>
  <r>
    <x v="0"/>
    <x v="0"/>
    <x v="4"/>
    <n v="38"/>
    <n v="60"/>
    <n v="50"/>
    <n v="148"/>
    <n v="49.3333333333333"/>
  </r>
  <r>
    <x v="1"/>
    <x v="1"/>
    <x v="3"/>
    <n v="58"/>
    <n v="54"/>
    <n v="52"/>
    <n v="164"/>
    <n v="54.6666666666666"/>
  </r>
  <r>
    <x v="1"/>
    <x v="3"/>
    <x v="3"/>
    <n v="40"/>
    <n v="52"/>
    <n v="43"/>
    <n v="135"/>
    <n v="45"/>
  </r>
  <r>
    <x v="0"/>
    <x v="0"/>
    <x v="4"/>
    <n v="65"/>
    <n v="81"/>
    <n v="73"/>
    <n v="219"/>
    <n v="73"/>
  </r>
  <r>
    <x v="1"/>
    <x v="2"/>
    <x v="1"/>
    <n v="78"/>
    <n v="72"/>
    <n v="70"/>
    <n v="220"/>
    <n v="73.3333333333333"/>
  </r>
  <r>
    <x v="0"/>
    <x v="2"/>
    <x v="2"/>
    <n v="50"/>
    <n v="53"/>
    <n v="58"/>
    <n v="161"/>
    <n v="53.6666666666666"/>
  </r>
  <r>
    <x v="0"/>
    <x v="1"/>
    <x v="5"/>
    <n v="69"/>
    <n v="75"/>
    <n v="78"/>
    <n v="222"/>
    <n v="74"/>
  </r>
  <r>
    <x v="1"/>
    <x v="1"/>
    <x v="4"/>
    <n v="88"/>
    <n v="89"/>
    <n v="86"/>
    <n v="263"/>
    <n v="87.6666666666666"/>
  </r>
  <r>
    <x v="0"/>
    <x v="0"/>
    <x v="5"/>
    <n v="18"/>
    <n v="32"/>
    <n v="28"/>
    <n v="78"/>
    <n v="26"/>
  </r>
  <r>
    <x v="1"/>
    <x v="1"/>
    <x v="2"/>
    <n v="46"/>
    <n v="42"/>
    <n v="46"/>
    <n v="134"/>
    <n v="44.666666666666664"/>
  </r>
  <r>
    <x v="0"/>
    <x v="1"/>
    <x v="3"/>
    <n v="54"/>
    <n v="58"/>
    <n v="61"/>
    <n v="173"/>
    <n v="57.6666666666666"/>
  </r>
  <r>
    <x v="1"/>
    <x v="3"/>
    <x v="4"/>
    <n v="66"/>
    <n v="69"/>
    <n v="63"/>
    <n v="198"/>
    <n v="66"/>
  </r>
  <r>
    <x v="0"/>
    <x v="0"/>
    <x v="1"/>
    <n v="65"/>
    <n v="75"/>
    <n v="70"/>
    <n v="210"/>
    <n v="70"/>
  </r>
  <r>
    <x v="1"/>
    <x v="3"/>
    <x v="1"/>
    <n v="44"/>
    <n v="54"/>
    <n v="53"/>
    <n v="151"/>
    <n v="50.3333333333333"/>
  </r>
  <r>
    <x v="0"/>
    <x v="1"/>
    <x v="5"/>
    <n v="69"/>
    <n v="73"/>
    <n v="73"/>
    <n v="215"/>
    <n v="71.6666666666666"/>
  </r>
  <r>
    <x v="1"/>
    <x v="3"/>
    <x v="0"/>
    <n v="74"/>
    <n v="71"/>
    <n v="80"/>
    <n v="225"/>
    <n v="75"/>
  </r>
  <r>
    <x v="1"/>
    <x v="2"/>
    <x v="2"/>
    <n v="73"/>
    <n v="74"/>
    <n v="72"/>
    <n v="219"/>
    <n v="73"/>
  </r>
  <r>
    <x v="1"/>
    <x v="0"/>
    <x v="1"/>
    <n v="69"/>
    <n v="54"/>
    <n v="55"/>
    <n v="178"/>
    <n v="59.3333333333333"/>
  </r>
  <r>
    <x v="0"/>
    <x v="1"/>
    <x v="0"/>
    <n v="67"/>
    <n v="69"/>
    <n v="75"/>
    <n v="211"/>
    <n v="70.3333333333333"/>
  </r>
  <r>
    <x v="1"/>
    <x v="1"/>
    <x v="4"/>
    <n v="70"/>
    <n v="70"/>
    <n v="65"/>
    <n v="205"/>
    <n v="68.3333333333333"/>
  </r>
  <r>
    <x v="0"/>
    <x v="3"/>
    <x v="2"/>
    <n v="62"/>
    <n v="70"/>
    <n v="75"/>
    <n v="207"/>
    <n v="69"/>
  </r>
  <r>
    <x v="0"/>
    <x v="3"/>
    <x v="1"/>
    <n v="69"/>
    <n v="74"/>
    <n v="74"/>
    <n v="217"/>
    <n v="72.3333333333333"/>
  </r>
  <r>
    <x v="0"/>
    <x v="0"/>
    <x v="1"/>
    <n v="63"/>
    <n v="65"/>
    <n v="61"/>
    <n v="189"/>
    <n v="63"/>
  </r>
  <r>
    <x v="0"/>
    <x v="4"/>
    <x v="2"/>
    <n v="56"/>
    <n v="72"/>
    <n v="65"/>
    <n v="193"/>
    <n v="64.3333333333333"/>
  </r>
  <r>
    <x v="1"/>
    <x v="3"/>
    <x v="1"/>
    <n v="40"/>
    <n v="42"/>
    <n v="38"/>
    <n v="120"/>
    <n v="40"/>
  </r>
  <r>
    <x v="1"/>
    <x v="4"/>
    <x v="1"/>
    <n v="97"/>
    <n v="87"/>
    <n v="82"/>
    <n v="266"/>
    <n v="88.6666666666666"/>
  </r>
  <r>
    <x v="1"/>
    <x v="4"/>
    <x v="3"/>
    <n v="81"/>
    <n v="81"/>
    <n v="79"/>
    <n v="241"/>
    <n v="80.3333333333333"/>
  </r>
  <r>
    <x v="0"/>
    <x v="3"/>
    <x v="3"/>
    <n v="74"/>
    <n v="81"/>
    <n v="83"/>
    <n v="238"/>
    <n v="79.3333333333333"/>
  </r>
  <r>
    <x v="0"/>
    <x v="3"/>
    <x v="5"/>
    <n v="50"/>
    <n v="64"/>
    <n v="59"/>
    <n v="173"/>
    <n v="57.6666666666666"/>
  </r>
  <r>
    <x v="0"/>
    <x v="3"/>
    <x v="3"/>
    <n v="75"/>
    <n v="90"/>
    <n v="88"/>
    <n v="253"/>
    <n v="84.3333333333333"/>
  </r>
  <r>
    <x v="1"/>
    <x v="0"/>
    <x v="3"/>
    <n v="57"/>
    <n v="56"/>
    <n v="57"/>
    <n v="170"/>
    <n v="56.6666666666666"/>
  </r>
  <r>
    <x v="1"/>
    <x v="1"/>
    <x v="3"/>
    <n v="55"/>
    <n v="61"/>
    <n v="54"/>
    <n v="170"/>
    <n v="56.6666666666666"/>
  </r>
  <r>
    <x v="0"/>
    <x v="1"/>
    <x v="3"/>
    <n v="58"/>
    <n v="73"/>
    <n v="68"/>
    <n v="199"/>
    <n v="66.3333333333333"/>
  </r>
  <r>
    <x v="0"/>
    <x v="0"/>
    <x v="3"/>
    <n v="53"/>
    <n v="58"/>
    <n v="65"/>
    <n v="176"/>
    <n v="58.6666666666666"/>
  </r>
  <r>
    <x v="1"/>
    <x v="0"/>
    <x v="1"/>
    <n v="59"/>
    <n v="65"/>
    <n v="66"/>
    <n v="190"/>
    <n v="63.333333333333336"/>
  </r>
  <r>
    <x v="0"/>
    <x v="4"/>
    <x v="3"/>
    <n v="50"/>
    <n v="56"/>
    <n v="54"/>
    <n v="160"/>
    <n v="53.3333333333333"/>
  </r>
  <r>
    <x v="1"/>
    <x v="0"/>
    <x v="3"/>
    <n v="65"/>
    <n v="54"/>
    <n v="57"/>
    <n v="176"/>
    <n v="58.6666666666666"/>
  </r>
  <r>
    <x v="0"/>
    <x v="2"/>
    <x v="3"/>
    <n v="55"/>
    <n v="65"/>
    <n v="62"/>
    <n v="182"/>
    <n v="60.6666666666666"/>
  </r>
  <r>
    <x v="0"/>
    <x v="1"/>
    <x v="4"/>
    <n v="66"/>
    <n v="71"/>
    <n v="76"/>
    <n v="213"/>
    <n v="71"/>
  </r>
  <r>
    <x v="0"/>
    <x v="3"/>
    <x v="3"/>
    <n v="57"/>
    <n v="74"/>
    <n v="76"/>
    <n v="207"/>
    <n v="69"/>
  </r>
  <r>
    <x v="1"/>
    <x v="1"/>
    <x v="4"/>
    <n v="82"/>
    <n v="84"/>
    <n v="82"/>
    <n v="248"/>
    <n v="82.6666666666666"/>
  </r>
  <r>
    <x v="1"/>
    <x v="4"/>
    <x v="1"/>
    <n v="53"/>
    <n v="55"/>
    <n v="48"/>
    <n v="156"/>
    <n v="52"/>
  </r>
  <r>
    <x v="1"/>
    <x v="4"/>
    <x v="3"/>
    <n v="77"/>
    <n v="69"/>
    <n v="68"/>
    <n v="214"/>
    <n v="71.3333333333333"/>
  </r>
  <r>
    <x v="1"/>
    <x v="1"/>
    <x v="1"/>
    <n v="53"/>
    <n v="44"/>
    <n v="42"/>
    <n v="139"/>
    <n v="46.3333333333333"/>
  </r>
  <r>
    <x v="1"/>
    <x v="3"/>
    <x v="4"/>
    <n v="88"/>
    <n v="78"/>
    <n v="75"/>
    <n v="241"/>
    <n v="80.3333333333333"/>
  </r>
  <r>
    <x v="0"/>
    <x v="1"/>
    <x v="5"/>
    <n v="71"/>
    <n v="84"/>
    <n v="87"/>
    <n v="242"/>
    <n v="80.6666666666666"/>
  </r>
  <r>
    <x v="0"/>
    <x v="1"/>
    <x v="4"/>
    <n v="33"/>
    <n v="41"/>
    <n v="43"/>
    <n v="117"/>
    <n v="39"/>
  </r>
  <r>
    <x v="0"/>
    <x v="4"/>
    <x v="3"/>
    <n v="82"/>
    <n v="85"/>
    <n v="86"/>
    <n v="253"/>
    <n v="84.3333333333333"/>
  </r>
  <r>
    <x v="1"/>
    <x v="3"/>
    <x v="3"/>
    <n v="52"/>
    <n v="55"/>
    <n v="49"/>
    <n v="156"/>
    <n v="52"/>
  </r>
  <r>
    <x v="1"/>
    <x v="3"/>
    <x v="1"/>
    <n v="58"/>
    <n v="59"/>
    <n v="58"/>
    <n v="175"/>
    <n v="58.3333333333333"/>
  </r>
  <r>
    <x v="0"/>
    <x v="1"/>
    <x v="5"/>
    <n v="0"/>
    <n v="17"/>
    <n v="10"/>
    <n v="27"/>
    <n v="9"/>
  </r>
  <r>
    <x v="1"/>
    <x v="4"/>
    <x v="0"/>
    <n v="79"/>
    <n v="74"/>
    <n v="72"/>
    <n v="225"/>
    <n v="75"/>
  </r>
  <r>
    <x v="1"/>
    <x v="2"/>
    <x v="3"/>
    <n v="39"/>
    <n v="39"/>
    <n v="34"/>
    <n v="112"/>
    <n v="37.3333333333333"/>
  </r>
  <r>
    <x v="1"/>
    <x v="2"/>
    <x v="3"/>
    <n v="62"/>
    <n v="61"/>
    <n v="55"/>
    <n v="178"/>
    <n v="59.3333333333333"/>
  </r>
  <r>
    <x v="0"/>
    <x v="1"/>
    <x v="3"/>
    <n v="69"/>
    <n v="80"/>
    <n v="71"/>
    <n v="220"/>
    <n v="73.3333333333333"/>
  </r>
  <r>
    <x v="0"/>
    <x v="3"/>
    <x v="5"/>
    <n v="59"/>
    <n v="58"/>
    <n v="59"/>
    <n v="176"/>
    <n v="58.6666666666666"/>
  </r>
  <r>
    <x v="1"/>
    <x v="0"/>
    <x v="5"/>
    <n v="67"/>
    <n v="64"/>
    <n v="61"/>
    <n v="192"/>
    <n v="64"/>
  </r>
  <r>
    <x v="1"/>
    <x v="3"/>
    <x v="5"/>
    <n v="45"/>
    <n v="37"/>
    <n v="37"/>
    <n v="119"/>
    <n v="39.6666666666666"/>
  </r>
  <r>
    <x v="0"/>
    <x v="1"/>
    <x v="1"/>
    <n v="60"/>
    <n v="72"/>
    <n v="74"/>
    <n v="206"/>
    <n v="68.6666666666666"/>
  </r>
  <r>
    <x v="1"/>
    <x v="0"/>
    <x v="3"/>
    <n v="61"/>
    <n v="58"/>
    <n v="56"/>
    <n v="175"/>
    <n v="58.3333333333333"/>
  </r>
  <r>
    <x v="0"/>
    <x v="1"/>
    <x v="3"/>
    <n v="39"/>
    <n v="64"/>
    <n v="57"/>
    <n v="160"/>
    <n v="53.3333333333333"/>
  </r>
  <r>
    <x v="0"/>
    <x v="3"/>
    <x v="6"/>
    <n v="58"/>
    <n v="63"/>
    <n v="73"/>
    <n v="194"/>
    <n v="64.6666666666666"/>
  </r>
  <r>
    <x v="1"/>
    <x v="3"/>
    <x v="1"/>
    <n v="63"/>
    <n v="55"/>
    <n v="63"/>
    <n v="181"/>
    <n v="60.3333333333333"/>
  </r>
  <r>
    <x v="0"/>
    <x v="2"/>
    <x v="3"/>
    <n v="41"/>
    <n v="51"/>
    <n v="48"/>
    <n v="140"/>
    <n v="46.6666666666666"/>
  </r>
  <r>
    <x v="1"/>
    <x v="1"/>
    <x v="5"/>
    <n v="61"/>
    <n v="57"/>
    <n v="56"/>
    <n v="174"/>
    <n v="58"/>
  </r>
  <r>
    <x v="1"/>
    <x v="1"/>
    <x v="5"/>
    <n v="49"/>
    <n v="49"/>
    <n v="41"/>
    <n v="139"/>
    <n v="46.3333333333333"/>
  </r>
  <r>
    <x v="1"/>
    <x v="0"/>
    <x v="3"/>
    <n v="44"/>
    <n v="41"/>
    <n v="38"/>
    <n v="123"/>
    <n v="41"/>
  </r>
  <r>
    <x v="1"/>
    <x v="4"/>
    <x v="5"/>
    <n v="30"/>
    <n v="26"/>
    <n v="22"/>
    <n v="78"/>
    <n v="26"/>
  </r>
  <r>
    <x v="1"/>
    <x v="2"/>
    <x v="0"/>
    <n v="80"/>
    <n v="78"/>
    <n v="81"/>
    <n v="239"/>
    <n v="79.6666666666666"/>
  </r>
  <r>
    <x v="0"/>
    <x v="3"/>
    <x v="5"/>
    <n v="61"/>
    <n v="74"/>
    <n v="72"/>
    <n v="207"/>
    <n v="69"/>
  </r>
  <r>
    <x v="0"/>
    <x v="4"/>
    <x v="2"/>
    <n v="62"/>
    <n v="68"/>
    <n v="68"/>
    <n v="198"/>
    <n v="66"/>
  </r>
  <r>
    <x v="0"/>
    <x v="0"/>
    <x v="3"/>
    <n v="47"/>
    <n v="49"/>
    <n v="50"/>
    <n v="146"/>
    <n v="48.6666666666666"/>
  </r>
  <r>
    <x v="1"/>
    <x v="0"/>
    <x v="4"/>
    <n v="49"/>
    <n v="45"/>
    <n v="45"/>
    <n v="139"/>
    <n v="46.3333333333333"/>
  </r>
  <r>
    <x v="1"/>
    <x v="2"/>
    <x v="1"/>
    <n v="50"/>
    <n v="47"/>
    <n v="54"/>
    <n v="151"/>
    <n v="50.3333333333333"/>
  </r>
  <r>
    <x v="1"/>
    <x v="4"/>
    <x v="3"/>
    <n v="72"/>
    <n v="64"/>
    <n v="63"/>
    <n v="199"/>
    <n v="66.3333333333333"/>
  </r>
  <r>
    <x v="1"/>
    <x v="3"/>
    <x v="4"/>
    <n v="42"/>
    <n v="39"/>
    <n v="34"/>
    <n v="115"/>
    <n v="38.3333333333333"/>
  </r>
  <r>
    <x v="0"/>
    <x v="1"/>
    <x v="1"/>
    <n v="73"/>
    <n v="80"/>
    <n v="82"/>
    <n v="235"/>
    <n v="78.3333333333333"/>
  </r>
  <r>
    <x v="0"/>
    <x v="1"/>
    <x v="1"/>
    <n v="76"/>
    <n v="83"/>
    <n v="88"/>
    <n v="247"/>
    <n v="82.3333333333333"/>
  </r>
  <r>
    <x v="0"/>
    <x v="3"/>
    <x v="3"/>
    <n v="71"/>
    <n v="71"/>
    <n v="74"/>
    <n v="216"/>
    <n v="72"/>
  </r>
  <r>
    <x v="0"/>
    <x v="2"/>
    <x v="1"/>
    <n v="58"/>
    <n v="70"/>
    <n v="67"/>
    <n v="195"/>
    <n v="65"/>
  </r>
  <r>
    <x v="0"/>
    <x v="3"/>
    <x v="5"/>
    <n v="73"/>
    <n v="86"/>
    <n v="82"/>
    <n v="241"/>
    <n v="80.3333333333333"/>
  </r>
  <r>
    <x v="0"/>
    <x v="1"/>
    <x v="0"/>
    <n v="65"/>
    <n v="72"/>
    <n v="74"/>
    <n v="211"/>
    <n v="70.3333333333333"/>
  </r>
  <r>
    <x v="1"/>
    <x v="1"/>
    <x v="4"/>
    <n v="27"/>
    <n v="34"/>
    <n v="36"/>
    <n v="97"/>
    <n v="32.333333333333336"/>
  </r>
  <r>
    <x v="1"/>
    <x v="1"/>
    <x v="4"/>
    <n v="71"/>
    <n v="79"/>
    <n v="71"/>
    <n v="221"/>
    <n v="73.6666666666666"/>
  </r>
  <r>
    <x v="1"/>
    <x v="1"/>
    <x v="3"/>
    <n v="43"/>
    <n v="45"/>
    <n v="50"/>
    <n v="138"/>
    <n v="46"/>
  </r>
  <r>
    <x v="0"/>
    <x v="0"/>
    <x v="1"/>
    <n v="79"/>
    <n v="86"/>
    <n v="92"/>
    <n v="257"/>
    <n v="85.6666666666666"/>
  </r>
  <r>
    <x v="1"/>
    <x v="1"/>
    <x v="3"/>
    <n v="78"/>
    <n v="81"/>
    <n v="82"/>
    <n v="241"/>
    <n v="80.3333333333333"/>
  </r>
  <r>
    <x v="1"/>
    <x v="0"/>
    <x v="5"/>
    <n v="65"/>
    <n v="66"/>
    <n v="62"/>
    <n v="193"/>
    <n v="64.3333333333333"/>
  </r>
  <r>
    <x v="0"/>
    <x v="4"/>
    <x v="1"/>
    <n v="63"/>
    <n v="72"/>
    <n v="70"/>
    <n v="205"/>
    <n v="68.3333333333333"/>
  </r>
  <r>
    <x v="0"/>
    <x v="3"/>
    <x v="1"/>
    <n v="58"/>
    <n v="67"/>
    <n v="62"/>
    <n v="187"/>
    <n v="62.3333333333333"/>
  </r>
  <r>
    <x v="0"/>
    <x v="3"/>
    <x v="0"/>
    <n v="65"/>
    <n v="67"/>
    <n v="62"/>
    <n v="194"/>
    <n v="64.6666666666666"/>
  </r>
  <r>
    <x v="1"/>
    <x v="0"/>
    <x v="1"/>
    <n v="79"/>
    <n v="67"/>
    <n v="67"/>
    <n v="213"/>
    <n v="71"/>
  </r>
  <r>
    <x v="1"/>
    <x v="3"/>
    <x v="0"/>
    <n v="68"/>
    <n v="74"/>
    <n v="74"/>
    <n v="216"/>
    <n v="72"/>
  </r>
  <r>
    <x v="0"/>
    <x v="3"/>
    <x v="3"/>
    <n v="85"/>
    <n v="91"/>
    <n v="89"/>
    <n v="265"/>
    <n v="88.3333333333333"/>
  </r>
  <r>
    <x v="1"/>
    <x v="0"/>
    <x v="4"/>
    <n v="60"/>
    <n v="44"/>
    <n v="47"/>
    <n v="151"/>
    <n v="50.3333333333333"/>
  </r>
  <r>
    <x v="1"/>
    <x v="1"/>
    <x v="1"/>
    <n v="98"/>
    <n v="86"/>
    <n v="90"/>
    <n v="274"/>
    <n v="91.3333333333333"/>
  </r>
  <r>
    <x v="0"/>
    <x v="1"/>
    <x v="1"/>
    <n v="58"/>
    <n v="67"/>
    <n v="72"/>
    <n v="197"/>
    <n v="65.6666666666666"/>
  </r>
  <r>
    <x v="0"/>
    <x v="3"/>
    <x v="2"/>
    <n v="87"/>
    <n v="100"/>
    <n v="100"/>
    <n v="287"/>
    <n v="95.6666666666666"/>
  </r>
  <r>
    <x v="1"/>
    <x v="4"/>
    <x v="3"/>
    <n v="66"/>
    <n v="63"/>
    <n v="64"/>
    <n v="193"/>
    <n v="64.333333333333329"/>
  </r>
  <r>
    <x v="0"/>
    <x v="0"/>
    <x v="3"/>
    <n v="52"/>
    <n v="76"/>
    <n v="70"/>
    <n v="198"/>
    <n v="66"/>
  </r>
  <r>
    <x v="0"/>
    <x v="0"/>
    <x v="5"/>
    <n v="70"/>
    <n v="64"/>
    <n v="72"/>
    <n v="206"/>
    <n v="68.6666666666666"/>
  </r>
  <r>
    <x v="0"/>
    <x v="3"/>
    <x v="3"/>
    <n v="77"/>
    <n v="89"/>
    <n v="98"/>
    <n v="264"/>
    <n v="88"/>
  </r>
  <r>
    <x v="1"/>
    <x v="1"/>
    <x v="4"/>
    <n v="62"/>
    <n v="55"/>
    <n v="49"/>
    <n v="166"/>
    <n v="55.3333333333333"/>
  </r>
  <r>
    <x v="1"/>
    <x v="2"/>
    <x v="3"/>
    <n v="54"/>
    <n v="53"/>
    <n v="47"/>
    <n v="154"/>
    <n v="51.3333333333333"/>
  </r>
  <r>
    <x v="0"/>
    <x v="3"/>
    <x v="1"/>
    <n v="51"/>
    <n v="58"/>
    <n v="54"/>
    <n v="163"/>
    <n v="54.3333333333333"/>
  </r>
  <r>
    <x v="0"/>
    <x v="4"/>
    <x v="0"/>
    <n v="99"/>
    <n v="100"/>
    <n v="100"/>
    <n v="299"/>
    <n v="99.6666666666666"/>
  </r>
  <r>
    <x v="1"/>
    <x v="1"/>
    <x v="4"/>
    <n v="84"/>
    <n v="77"/>
    <n v="74"/>
    <n v="235"/>
    <n v="78.3333333333333"/>
  </r>
  <r>
    <x v="0"/>
    <x v="0"/>
    <x v="0"/>
    <n v="75"/>
    <n v="85"/>
    <n v="82"/>
    <n v="242"/>
    <n v="80.6666666666666"/>
  </r>
  <r>
    <x v="0"/>
    <x v="3"/>
    <x v="0"/>
    <n v="78"/>
    <n v="82"/>
    <n v="79"/>
    <n v="239"/>
    <n v="79.6666666666666"/>
  </r>
  <r>
    <x v="0"/>
    <x v="3"/>
    <x v="5"/>
    <n v="51"/>
    <n v="63"/>
    <n v="61"/>
    <n v="175"/>
    <n v="58.3333333333333"/>
  </r>
  <r>
    <x v="0"/>
    <x v="1"/>
    <x v="1"/>
    <n v="55"/>
    <n v="69"/>
    <n v="65"/>
    <n v="189"/>
    <n v="63"/>
  </r>
  <r>
    <x v="0"/>
    <x v="1"/>
    <x v="0"/>
    <n v="79"/>
    <n v="92"/>
    <n v="89"/>
    <n v="260"/>
    <n v="86.6666666666666"/>
  </r>
  <r>
    <x v="1"/>
    <x v="0"/>
    <x v="3"/>
    <n v="91"/>
    <n v="89"/>
    <n v="92"/>
    <n v="272"/>
    <n v="90.6666666666666"/>
  </r>
  <r>
    <x v="0"/>
    <x v="1"/>
    <x v="1"/>
    <n v="88"/>
    <n v="93"/>
    <n v="93"/>
    <n v="274"/>
    <n v="91.3333333333333"/>
  </r>
  <r>
    <x v="1"/>
    <x v="3"/>
    <x v="4"/>
    <n v="63"/>
    <n v="57"/>
    <n v="56"/>
    <n v="176"/>
    <n v="58.6666666666666"/>
  </r>
  <r>
    <x v="1"/>
    <x v="4"/>
    <x v="1"/>
    <n v="83"/>
    <n v="80"/>
    <n v="73"/>
    <n v="236"/>
    <n v="78.6666666666666"/>
  </r>
  <r>
    <x v="0"/>
    <x v="0"/>
    <x v="4"/>
    <n v="87"/>
    <n v="95"/>
    <n v="86"/>
    <n v="268"/>
    <n v="89.3333333333333"/>
  </r>
  <r>
    <x v="1"/>
    <x v="0"/>
    <x v="5"/>
    <n v="72"/>
    <n v="68"/>
    <n v="67"/>
    <n v="207"/>
    <n v="69"/>
  </r>
  <r>
    <x v="1"/>
    <x v="3"/>
    <x v="1"/>
    <n v="65"/>
    <n v="77"/>
    <n v="74"/>
    <n v="216"/>
    <n v="72"/>
  </r>
  <r>
    <x v="1"/>
    <x v="3"/>
    <x v="2"/>
    <n v="82"/>
    <n v="82"/>
    <n v="74"/>
    <n v="238"/>
    <n v="79.3333333333333"/>
  </r>
  <r>
    <x v="0"/>
    <x v="2"/>
    <x v="0"/>
    <n v="51"/>
    <n v="49"/>
    <n v="51"/>
    <n v="151"/>
    <n v="50.3333333333333"/>
  </r>
  <r>
    <x v="1"/>
    <x v="3"/>
    <x v="2"/>
    <n v="89"/>
    <n v="84"/>
    <n v="82"/>
    <n v="255"/>
    <n v="85"/>
  </r>
  <r>
    <x v="1"/>
    <x v="1"/>
    <x v="5"/>
    <n v="53"/>
    <n v="37"/>
    <n v="40"/>
    <n v="130"/>
    <n v="43.3333333333333"/>
  </r>
  <r>
    <x v="1"/>
    <x v="4"/>
    <x v="1"/>
    <n v="87"/>
    <n v="74"/>
    <n v="70"/>
    <n v="231"/>
    <n v="77"/>
  </r>
  <r>
    <x v="0"/>
    <x v="1"/>
    <x v="1"/>
    <n v="75"/>
    <n v="81"/>
    <n v="84"/>
    <n v="240"/>
    <n v="80"/>
  </r>
  <r>
    <x v="1"/>
    <x v="3"/>
    <x v="0"/>
    <n v="74"/>
    <n v="79"/>
    <n v="75"/>
    <n v="228"/>
    <n v="76"/>
  </r>
  <r>
    <x v="1"/>
    <x v="1"/>
    <x v="0"/>
    <n v="58"/>
    <n v="55"/>
    <n v="48"/>
    <n v="161"/>
    <n v="53.6666666666666"/>
  </r>
  <r>
    <x v="1"/>
    <x v="0"/>
    <x v="5"/>
    <n v="51"/>
    <n v="54"/>
    <n v="41"/>
    <n v="146"/>
    <n v="48.6666666666666"/>
  </r>
  <r>
    <x v="1"/>
    <x v="4"/>
    <x v="4"/>
    <n v="70"/>
    <n v="55"/>
    <n v="56"/>
    <n v="181"/>
    <n v="60.3333333333333"/>
  </r>
  <r>
    <x v="0"/>
    <x v="1"/>
    <x v="3"/>
    <n v="59"/>
    <n v="66"/>
    <n v="67"/>
    <n v="192"/>
    <n v="64"/>
  </r>
  <r>
    <x v="1"/>
    <x v="3"/>
    <x v="1"/>
    <n v="71"/>
    <n v="61"/>
    <n v="69"/>
    <n v="201"/>
    <n v="67"/>
  </r>
  <r>
    <x v="0"/>
    <x v="3"/>
    <x v="5"/>
    <n v="76"/>
    <n v="72"/>
    <n v="71"/>
    <n v="219"/>
    <n v="73"/>
  </r>
  <r>
    <x v="0"/>
    <x v="1"/>
    <x v="1"/>
    <n v="59"/>
    <n v="62"/>
    <n v="64"/>
    <n v="185"/>
    <n v="61.6666666666666"/>
  </r>
  <r>
    <x v="0"/>
    <x v="4"/>
    <x v="1"/>
    <n v="42"/>
    <n v="55"/>
    <n v="54"/>
    <n v="151"/>
    <n v="50.3333333333333"/>
  </r>
  <r>
    <x v="1"/>
    <x v="2"/>
    <x v="4"/>
    <n v="57"/>
    <n v="43"/>
    <n v="47"/>
    <n v="147"/>
    <n v="49"/>
  </r>
  <r>
    <x v="1"/>
    <x v="3"/>
    <x v="1"/>
    <n v="88"/>
    <n v="73"/>
    <n v="78"/>
    <n v="239"/>
    <n v="79.6666666666666"/>
  </r>
  <r>
    <x v="0"/>
    <x v="1"/>
    <x v="1"/>
    <n v="22"/>
    <n v="39"/>
    <n v="33"/>
    <n v="94"/>
    <n v="31.3333333333333"/>
  </r>
  <r>
    <x v="1"/>
    <x v="0"/>
    <x v="5"/>
    <n v="88"/>
    <n v="84"/>
    <n v="75"/>
    <n v="247"/>
    <n v="82.3333333333333"/>
  </r>
  <r>
    <x v="1"/>
    <x v="1"/>
    <x v="3"/>
    <n v="73"/>
    <n v="68"/>
    <n v="66"/>
    <n v="207"/>
    <n v="69"/>
  </r>
  <r>
    <x v="0"/>
    <x v="3"/>
    <x v="0"/>
    <n v="68"/>
    <n v="75"/>
    <n v="81"/>
    <n v="224"/>
    <n v="74.6666666666666"/>
  </r>
  <r>
    <x v="1"/>
    <x v="4"/>
    <x v="3"/>
    <n v="100"/>
    <n v="100"/>
    <n v="93"/>
    <n v="293"/>
    <n v="97.6666666666666"/>
  </r>
  <r>
    <x v="1"/>
    <x v="2"/>
    <x v="5"/>
    <n v="62"/>
    <n v="67"/>
    <n v="69"/>
    <n v="198"/>
    <n v="66"/>
  </r>
  <r>
    <x v="1"/>
    <x v="2"/>
    <x v="0"/>
    <n v="77"/>
    <n v="67"/>
    <n v="68"/>
    <n v="212"/>
    <n v="70.6666666666666"/>
  </r>
  <r>
    <x v="0"/>
    <x v="0"/>
    <x v="3"/>
    <n v="59"/>
    <n v="70"/>
    <n v="66"/>
    <n v="195"/>
    <n v="65"/>
  </r>
  <r>
    <x v="1"/>
    <x v="3"/>
    <x v="0"/>
    <n v="54"/>
    <n v="49"/>
    <n v="47"/>
    <n v="150"/>
    <n v="50"/>
  </r>
  <r>
    <x v="1"/>
    <x v="3"/>
    <x v="5"/>
    <n v="62"/>
    <n v="67"/>
    <n v="61"/>
    <n v="190"/>
    <n v="63.3333333333333"/>
  </r>
  <r>
    <x v="0"/>
    <x v="1"/>
    <x v="1"/>
    <n v="70"/>
    <n v="89"/>
    <n v="88"/>
    <n v="247"/>
    <n v="82.3333333333333"/>
  </r>
  <r>
    <x v="0"/>
    <x v="4"/>
    <x v="4"/>
    <n v="66"/>
    <n v="74"/>
    <n v="78"/>
    <n v="218"/>
    <n v="72.6666666666666"/>
  </r>
  <r>
    <x v="1"/>
    <x v="0"/>
    <x v="1"/>
    <n v="60"/>
    <n v="60"/>
    <n v="60"/>
    <n v="180"/>
    <n v="60"/>
  </r>
  <r>
    <x v="0"/>
    <x v="0"/>
    <x v="3"/>
    <n v="61"/>
    <n v="86"/>
    <n v="87"/>
    <n v="234"/>
    <n v="78"/>
  </r>
  <r>
    <x v="1"/>
    <x v="3"/>
    <x v="3"/>
    <n v="66"/>
    <n v="62"/>
    <n v="64"/>
    <n v="192"/>
    <n v="64"/>
  </r>
  <r>
    <x v="1"/>
    <x v="0"/>
    <x v="3"/>
    <n v="82"/>
    <n v="78"/>
    <n v="74"/>
    <n v="234"/>
    <n v="78"/>
  </r>
  <r>
    <x v="0"/>
    <x v="4"/>
    <x v="1"/>
    <n v="75"/>
    <n v="88"/>
    <n v="85"/>
    <n v="248"/>
    <n v="82.6666666666666"/>
  </r>
  <r>
    <x v="1"/>
    <x v="0"/>
    <x v="2"/>
    <n v="49"/>
    <n v="53"/>
    <n v="52"/>
    <n v="154"/>
    <n v="51.3333333333333"/>
  </r>
  <r>
    <x v="1"/>
    <x v="1"/>
    <x v="4"/>
    <n v="52"/>
    <n v="53"/>
    <n v="49"/>
    <n v="154"/>
    <n v="51.3333333333333"/>
  </r>
  <r>
    <x v="0"/>
    <x v="4"/>
    <x v="2"/>
    <n v="81"/>
    <n v="92"/>
    <n v="91"/>
    <n v="264"/>
    <n v="88"/>
  </r>
  <r>
    <x v="0"/>
    <x v="1"/>
    <x v="0"/>
    <n v="96"/>
    <n v="100"/>
    <n v="100"/>
    <n v="296"/>
    <n v="98.6666666666666"/>
  </r>
  <r>
    <x v="1"/>
    <x v="1"/>
    <x v="4"/>
    <n v="53"/>
    <n v="51"/>
    <n v="51"/>
    <n v="155"/>
    <n v="51.6666666666666"/>
  </r>
  <r>
    <x v="0"/>
    <x v="0"/>
    <x v="2"/>
    <n v="58"/>
    <n v="76"/>
    <n v="78"/>
    <n v="212"/>
    <n v="70.6666666666666"/>
  </r>
  <r>
    <x v="0"/>
    <x v="0"/>
    <x v="4"/>
    <n v="68"/>
    <n v="83"/>
    <n v="78"/>
    <n v="229"/>
    <n v="76.3333333333333"/>
  </r>
  <r>
    <x v="0"/>
    <x v="1"/>
    <x v="1"/>
    <n v="67"/>
    <n v="75"/>
    <n v="70"/>
    <n v="212"/>
    <n v="70.6666666666666"/>
  </r>
  <r>
    <x v="1"/>
    <x v="2"/>
    <x v="4"/>
    <n v="72"/>
    <n v="73"/>
    <n v="74"/>
    <n v="219"/>
    <n v="73"/>
  </r>
  <r>
    <x v="1"/>
    <x v="4"/>
    <x v="5"/>
    <n v="94"/>
    <n v="88"/>
    <n v="78"/>
    <n v="260"/>
    <n v="86.6666666666666"/>
  </r>
  <r>
    <x v="0"/>
    <x v="3"/>
    <x v="1"/>
    <n v="79"/>
    <n v="86"/>
    <n v="81"/>
    <n v="246"/>
    <n v="82"/>
  </r>
  <r>
    <x v="0"/>
    <x v="1"/>
    <x v="3"/>
    <n v="63"/>
    <n v="67"/>
    <n v="70"/>
    <n v="200"/>
    <n v="66.6666666666666"/>
  </r>
  <r>
    <x v="0"/>
    <x v="1"/>
    <x v="0"/>
    <n v="43"/>
    <n v="51"/>
    <n v="54"/>
    <n v="148"/>
    <n v="49.3333333333333"/>
  </r>
  <r>
    <x v="0"/>
    <x v="1"/>
    <x v="2"/>
    <n v="81"/>
    <n v="91"/>
    <n v="87"/>
    <n v="259"/>
    <n v="86.3333333333333"/>
  </r>
  <r>
    <x v="0"/>
    <x v="0"/>
    <x v="4"/>
    <n v="46"/>
    <n v="54"/>
    <n v="58"/>
    <n v="158"/>
    <n v="52.6666666666666"/>
  </r>
  <r>
    <x v="0"/>
    <x v="1"/>
    <x v="3"/>
    <n v="71"/>
    <n v="77"/>
    <n v="77"/>
    <n v="225"/>
    <n v="75"/>
  </r>
  <r>
    <x v="0"/>
    <x v="0"/>
    <x v="2"/>
    <n v="52"/>
    <n v="70"/>
    <n v="62"/>
    <n v="184"/>
    <n v="61.3333333333333"/>
  </r>
  <r>
    <x v="0"/>
    <x v="3"/>
    <x v="5"/>
    <n v="97"/>
    <n v="100"/>
    <n v="100"/>
    <n v="297"/>
    <n v="99"/>
  </r>
  <r>
    <x v="1"/>
    <x v="1"/>
    <x v="2"/>
    <n v="62"/>
    <n v="68"/>
    <n v="75"/>
    <n v="205"/>
    <n v="68.3333333333333"/>
  </r>
  <r>
    <x v="0"/>
    <x v="1"/>
    <x v="1"/>
    <n v="46"/>
    <n v="64"/>
    <n v="66"/>
    <n v="176"/>
    <n v="58.6666666666666"/>
  </r>
  <r>
    <x v="0"/>
    <x v="4"/>
    <x v="4"/>
    <n v="50"/>
    <n v="50"/>
    <n v="47"/>
    <n v="147"/>
    <n v="49"/>
  </r>
  <r>
    <x v="0"/>
    <x v="3"/>
    <x v="3"/>
    <n v="65"/>
    <n v="69"/>
    <n v="70"/>
    <n v="204"/>
    <n v="68"/>
  </r>
  <r>
    <x v="1"/>
    <x v="1"/>
    <x v="5"/>
    <n v="45"/>
    <n v="52"/>
    <n v="49"/>
    <n v="146"/>
    <n v="48.6666666666666"/>
  </r>
  <r>
    <x v="1"/>
    <x v="1"/>
    <x v="3"/>
    <n v="65"/>
    <n v="67"/>
    <n v="65"/>
    <n v="197"/>
    <n v="65.6666666666666"/>
  </r>
  <r>
    <x v="1"/>
    <x v="4"/>
    <x v="4"/>
    <n v="80"/>
    <n v="76"/>
    <n v="65"/>
    <n v="221"/>
    <n v="73.6666666666666"/>
  </r>
  <r>
    <x v="1"/>
    <x v="3"/>
    <x v="5"/>
    <n v="62"/>
    <n v="66"/>
    <n v="68"/>
    <n v="196"/>
    <n v="65.3333333333333"/>
  </r>
  <r>
    <x v="1"/>
    <x v="0"/>
    <x v="5"/>
    <n v="48"/>
    <n v="52"/>
    <n v="45"/>
    <n v="145"/>
    <n v="48.3333333333333"/>
  </r>
  <r>
    <x v="0"/>
    <x v="1"/>
    <x v="0"/>
    <n v="77"/>
    <n v="88"/>
    <n v="87"/>
    <n v="252"/>
    <n v="84"/>
  </r>
  <r>
    <x v="0"/>
    <x v="4"/>
    <x v="3"/>
    <n v="66"/>
    <n v="65"/>
    <n v="69"/>
    <n v="200"/>
    <n v="66.6666666666666"/>
  </r>
  <r>
    <x v="1"/>
    <x v="3"/>
    <x v="1"/>
    <n v="76"/>
    <n v="83"/>
    <n v="79"/>
    <n v="238"/>
    <n v="79.3333333333333"/>
  </r>
  <r>
    <x v="0"/>
    <x v="0"/>
    <x v="5"/>
    <n v="62"/>
    <n v="64"/>
    <n v="66"/>
    <n v="192"/>
    <n v="64"/>
  </r>
  <r>
    <x v="1"/>
    <x v="3"/>
    <x v="1"/>
    <n v="77"/>
    <n v="62"/>
    <n v="62"/>
    <n v="201"/>
    <n v="67"/>
  </r>
  <r>
    <x v="0"/>
    <x v="1"/>
    <x v="2"/>
    <n v="69"/>
    <n v="84"/>
    <n v="85"/>
    <n v="238"/>
    <n v="79.3333333333333"/>
  </r>
  <r>
    <x v="1"/>
    <x v="3"/>
    <x v="3"/>
    <n v="61"/>
    <n v="55"/>
    <n v="52"/>
    <n v="168"/>
    <n v="56"/>
  </r>
  <r>
    <x v="1"/>
    <x v="1"/>
    <x v="5"/>
    <n v="59"/>
    <n v="69"/>
    <n v="65"/>
    <n v="193"/>
    <n v="64.3333333333333"/>
  </r>
  <r>
    <x v="1"/>
    <x v="4"/>
    <x v="4"/>
    <n v="55"/>
    <n v="56"/>
    <n v="51"/>
    <n v="162"/>
    <n v="54"/>
  </r>
  <r>
    <x v="0"/>
    <x v="0"/>
    <x v="1"/>
    <n v="45"/>
    <n v="53"/>
    <n v="55"/>
    <n v="153"/>
    <n v="5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n v="0"/>
    <s v="group B"/>
    <x v="0"/>
    <n v="72"/>
    <n v="72"/>
    <n v="74"/>
    <n v="218"/>
    <n v="72.6666666666666"/>
  </r>
  <r>
    <n v="0"/>
    <s v="group C"/>
    <x v="1"/>
    <n v="69"/>
    <n v="90"/>
    <n v="88"/>
    <n v="247"/>
    <n v="82.3333333333333"/>
  </r>
  <r>
    <n v="0"/>
    <s v="group B"/>
    <x v="2"/>
    <n v="90"/>
    <n v="95"/>
    <n v="93"/>
    <n v="278"/>
    <n v="92.6666666666666"/>
  </r>
  <r>
    <n v="1"/>
    <s v="group A"/>
    <x v="3"/>
    <n v="47"/>
    <n v="57"/>
    <n v="44"/>
    <n v="148"/>
    <n v="49.3333333333333"/>
  </r>
  <r>
    <n v="1"/>
    <s v="group C"/>
    <x v="1"/>
    <n v="76"/>
    <n v="78"/>
    <n v="75"/>
    <n v="229"/>
    <n v="76.3333333333333"/>
  </r>
  <r>
    <n v="0"/>
    <s v="group B"/>
    <x v="3"/>
    <n v="71"/>
    <n v="83"/>
    <n v="78"/>
    <n v="232"/>
    <n v="77.3333333333333"/>
  </r>
  <r>
    <n v="0"/>
    <s v="group B"/>
    <x v="1"/>
    <n v="88"/>
    <n v="95"/>
    <n v="92"/>
    <n v="275"/>
    <n v="91.6666666666666"/>
  </r>
  <r>
    <n v="1"/>
    <s v="group B"/>
    <x v="1"/>
    <n v="40"/>
    <n v="43"/>
    <n v="39"/>
    <n v="122"/>
    <n v="40.6666666666666"/>
  </r>
  <r>
    <n v="1"/>
    <s v="group D"/>
    <x v="4"/>
    <n v="64"/>
    <n v="64"/>
    <n v="67"/>
    <n v="195"/>
    <n v="65"/>
  </r>
  <r>
    <n v="0"/>
    <s v="group B"/>
    <x v="4"/>
    <n v="38"/>
    <n v="60"/>
    <n v="50"/>
    <n v="148"/>
    <n v="49.3333333333333"/>
  </r>
  <r>
    <n v="1"/>
    <s v="group C"/>
    <x v="3"/>
    <n v="58"/>
    <n v="54"/>
    <n v="52"/>
    <n v="164"/>
    <n v="54.6666666666666"/>
  </r>
  <r>
    <n v="1"/>
    <s v="group D"/>
    <x v="3"/>
    <n v="40"/>
    <n v="52"/>
    <n v="43"/>
    <n v="135"/>
    <n v="45"/>
  </r>
  <r>
    <n v="0"/>
    <s v="group B"/>
    <x v="4"/>
    <n v="65"/>
    <n v="81"/>
    <n v="73"/>
    <n v="219"/>
    <n v="73"/>
  </r>
  <r>
    <n v="1"/>
    <s v="group A"/>
    <x v="1"/>
    <n v="78"/>
    <n v="72"/>
    <n v="70"/>
    <n v="220"/>
    <n v="73.3333333333333"/>
  </r>
  <r>
    <n v="0"/>
    <s v="group A"/>
    <x v="2"/>
    <n v="50"/>
    <n v="53"/>
    <n v="58"/>
    <n v="161"/>
    <n v="53.6666666666666"/>
  </r>
  <r>
    <n v="0"/>
    <s v="group C"/>
    <x v="5"/>
    <n v="69"/>
    <n v="75"/>
    <n v="78"/>
    <n v="222"/>
    <n v="74"/>
  </r>
  <r>
    <n v="1"/>
    <s v="group C"/>
    <x v="4"/>
    <n v="88"/>
    <n v="89"/>
    <n v="86"/>
    <n v="263"/>
    <n v="87.6666666666666"/>
  </r>
  <r>
    <n v="0"/>
    <s v="group B"/>
    <x v="5"/>
    <n v="18"/>
    <n v="32"/>
    <n v="28"/>
    <n v="78"/>
    <n v="26"/>
  </r>
  <r>
    <n v="1"/>
    <s v="group C"/>
    <x v="2"/>
    <n v="46"/>
    <n v="42"/>
    <n v="46"/>
    <n v="134"/>
    <n v="44.666666666666664"/>
  </r>
  <r>
    <n v="0"/>
    <s v="group C"/>
    <x v="3"/>
    <n v="54"/>
    <n v="58"/>
    <n v="61"/>
    <n v="173"/>
    <n v="57.6666666666666"/>
  </r>
  <r>
    <n v="1"/>
    <s v="group D"/>
    <x v="4"/>
    <n v="66"/>
    <n v="69"/>
    <n v="63"/>
    <n v="198"/>
    <n v="66"/>
  </r>
  <r>
    <n v="0"/>
    <s v="group B"/>
    <x v="1"/>
    <n v="65"/>
    <n v="75"/>
    <n v="70"/>
    <n v="210"/>
    <n v="70"/>
  </r>
  <r>
    <n v="1"/>
    <s v="group D"/>
    <x v="1"/>
    <n v="44"/>
    <n v="54"/>
    <n v="53"/>
    <n v="151"/>
    <n v="50.3333333333333"/>
  </r>
  <r>
    <n v="0"/>
    <s v="group C"/>
    <x v="5"/>
    <n v="69"/>
    <n v="73"/>
    <n v="73"/>
    <n v="215"/>
    <n v="71.6666666666666"/>
  </r>
  <r>
    <n v="1"/>
    <s v="group D"/>
    <x v="0"/>
    <n v="74"/>
    <n v="71"/>
    <n v="80"/>
    <n v="225"/>
    <n v="75"/>
  </r>
  <r>
    <n v="1"/>
    <s v="group A"/>
    <x v="2"/>
    <n v="73"/>
    <n v="74"/>
    <n v="72"/>
    <n v="219"/>
    <n v="73"/>
  </r>
  <r>
    <n v="1"/>
    <s v="group B"/>
    <x v="1"/>
    <n v="69"/>
    <n v="54"/>
    <n v="55"/>
    <n v="178"/>
    <n v="59.3333333333333"/>
  </r>
  <r>
    <n v="0"/>
    <s v="group C"/>
    <x v="0"/>
    <n v="67"/>
    <n v="69"/>
    <n v="75"/>
    <n v="211"/>
    <n v="70.3333333333333"/>
  </r>
  <r>
    <n v="1"/>
    <s v="group C"/>
    <x v="4"/>
    <n v="70"/>
    <n v="70"/>
    <n v="65"/>
    <n v="205"/>
    <n v="68.3333333333333"/>
  </r>
  <r>
    <n v="0"/>
    <s v="group D"/>
    <x v="2"/>
    <n v="62"/>
    <n v="70"/>
    <n v="75"/>
    <n v="207"/>
    <n v="69"/>
  </r>
  <r>
    <n v="0"/>
    <s v="group D"/>
    <x v="1"/>
    <n v="69"/>
    <n v="74"/>
    <n v="74"/>
    <n v="217"/>
    <n v="72.3333333333333"/>
  </r>
  <r>
    <n v="0"/>
    <s v="group B"/>
    <x v="1"/>
    <n v="63"/>
    <n v="65"/>
    <n v="61"/>
    <n v="189"/>
    <n v="63"/>
  </r>
  <r>
    <n v="0"/>
    <s v="group E"/>
    <x v="2"/>
    <n v="56"/>
    <n v="72"/>
    <n v="65"/>
    <n v="193"/>
    <n v="64.3333333333333"/>
  </r>
  <r>
    <n v="1"/>
    <s v="group D"/>
    <x v="1"/>
    <n v="40"/>
    <n v="42"/>
    <n v="38"/>
    <n v="120"/>
    <n v="40"/>
  </r>
  <r>
    <n v="1"/>
    <s v="group E"/>
    <x v="1"/>
    <n v="97"/>
    <n v="87"/>
    <n v="82"/>
    <n v="266"/>
    <n v="88.6666666666666"/>
  </r>
  <r>
    <n v="1"/>
    <s v="group E"/>
    <x v="3"/>
    <n v="81"/>
    <n v="81"/>
    <n v="79"/>
    <n v="241"/>
    <n v="80.3333333333333"/>
  </r>
  <r>
    <n v="0"/>
    <s v="group D"/>
    <x v="3"/>
    <n v="74"/>
    <n v="81"/>
    <n v="83"/>
    <n v="238"/>
    <n v="79.3333333333333"/>
  </r>
  <r>
    <n v="0"/>
    <s v="group D"/>
    <x v="5"/>
    <n v="50"/>
    <n v="64"/>
    <n v="59"/>
    <n v="173"/>
    <n v="57.6666666666666"/>
  </r>
  <r>
    <n v="0"/>
    <s v="group D"/>
    <x v="3"/>
    <n v="75"/>
    <n v="90"/>
    <n v="88"/>
    <n v="253"/>
    <n v="84.3333333333333"/>
  </r>
  <r>
    <n v="1"/>
    <s v="group B"/>
    <x v="3"/>
    <n v="57"/>
    <n v="56"/>
    <n v="57"/>
    <n v="170"/>
    <n v="56.6666666666666"/>
  </r>
  <r>
    <n v="1"/>
    <s v="group C"/>
    <x v="3"/>
    <n v="55"/>
    <n v="61"/>
    <n v="54"/>
    <n v="170"/>
    <n v="56.6666666666666"/>
  </r>
  <r>
    <n v="0"/>
    <s v="group C"/>
    <x v="3"/>
    <n v="58"/>
    <n v="73"/>
    <n v="68"/>
    <n v="199"/>
    <n v="66.3333333333333"/>
  </r>
  <r>
    <n v="0"/>
    <s v="group B"/>
    <x v="3"/>
    <n v="53"/>
    <n v="58"/>
    <n v="65"/>
    <n v="176"/>
    <n v="58.6666666666666"/>
  </r>
  <r>
    <n v="1"/>
    <s v="group B"/>
    <x v="1"/>
    <n v="59"/>
    <n v="65"/>
    <n v="66"/>
    <n v="190"/>
    <n v="63.333333333333336"/>
  </r>
  <r>
    <n v="0"/>
    <s v="group E"/>
    <x v="3"/>
    <n v="50"/>
    <n v="56"/>
    <n v="54"/>
    <n v="160"/>
    <n v="53.3333333333333"/>
  </r>
  <r>
    <n v="1"/>
    <s v="group B"/>
    <x v="3"/>
    <n v="65"/>
    <n v="54"/>
    <n v="57"/>
    <n v="176"/>
    <n v="58.6666666666666"/>
  </r>
  <r>
    <n v="0"/>
    <s v="group A"/>
    <x v="3"/>
    <n v="55"/>
    <n v="65"/>
    <n v="62"/>
    <n v="182"/>
    <n v="60.6666666666666"/>
  </r>
  <r>
    <n v="0"/>
    <s v="group C"/>
    <x v="4"/>
    <n v="66"/>
    <n v="71"/>
    <n v="76"/>
    <n v="213"/>
    <n v="71"/>
  </r>
  <r>
    <n v="0"/>
    <s v="group D"/>
    <x v="3"/>
    <n v="57"/>
    <n v="74"/>
    <n v="76"/>
    <n v="207"/>
    <n v="69"/>
  </r>
  <r>
    <n v="1"/>
    <s v="group C"/>
    <x v="4"/>
    <n v="82"/>
    <n v="84"/>
    <n v="82"/>
    <n v="248"/>
    <n v="82.6666666666666"/>
  </r>
  <r>
    <n v="1"/>
    <s v="group E"/>
    <x v="1"/>
    <n v="53"/>
    <n v="55"/>
    <n v="48"/>
    <n v="156"/>
    <n v="52"/>
  </r>
  <r>
    <n v="1"/>
    <s v="group E"/>
    <x v="3"/>
    <n v="77"/>
    <n v="69"/>
    <n v="68"/>
    <n v="214"/>
    <n v="71.3333333333333"/>
  </r>
  <r>
    <n v="1"/>
    <s v="group C"/>
    <x v="1"/>
    <n v="53"/>
    <n v="44"/>
    <n v="42"/>
    <n v="139"/>
    <n v="46.3333333333333"/>
  </r>
  <r>
    <n v="1"/>
    <s v="group D"/>
    <x v="4"/>
    <n v="88"/>
    <n v="78"/>
    <n v="75"/>
    <n v="241"/>
    <n v="80.3333333333333"/>
  </r>
  <r>
    <n v="0"/>
    <s v="group C"/>
    <x v="5"/>
    <n v="71"/>
    <n v="84"/>
    <n v="87"/>
    <n v="242"/>
    <n v="80.6666666666666"/>
  </r>
  <r>
    <n v="0"/>
    <s v="group C"/>
    <x v="4"/>
    <n v="33"/>
    <n v="41"/>
    <n v="43"/>
    <n v="117"/>
    <n v="39"/>
  </r>
  <r>
    <n v="0"/>
    <s v="group E"/>
    <x v="3"/>
    <n v="82"/>
    <n v="85"/>
    <n v="86"/>
    <n v="253"/>
    <n v="84.3333333333333"/>
  </r>
  <r>
    <n v="1"/>
    <s v="group D"/>
    <x v="3"/>
    <n v="52"/>
    <n v="55"/>
    <n v="49"/>
    <n v="156"/>
    <n v="52"/>
  </r>
  <r>
    <n v="1"/>
    <s v="group D"/>
    <x v="1"/>
    <n v="58"/>
    <n v="59"/>
    <n v="58"/>
    <n v="175"/>
    <n v="58.3333333333333"/>
  </r>
  <r>
    <n v="0"/>
    <s v="group C"/>
    <x v="5"/>
    <n v="0"/>
    <n v="17"/>
    <n v="10"/>
    <n v="27"/>
    <n v="9"/>
  </r>
  <r>
    <n v="1"/>
    <s v="group E"/>
    <x v="0"/>
    <n v="79"/>
    <n v="74"/>
    <n v="72"/>
    <n v="225"/>
    <n v="75"/>
  </r>
  <r>
    <n v="1"/>
    <s v="group A"/>
    <x v="3"/>
    <n v="39"/>
    <n v="39"/>
    <n v="34"/>
    <n v="112"/>
    <n v="37.3333333333333"/>
  </r>
  <r>
    <n v="1"/>
    <s v="group A"/>
    <x v="3"/>
    <n v="62"/>
    <n v="61"/>
    <n v="55"/>
    <n v="178"/>
    <n v="59.3333333333333"/>
  </r>
  <r>
    <n v="0"/>
    <s v="group C"/>
    <x v="3"/>
    <n v="69"/>
    <n v="80"/>
    <n v="71"/>
    <n v="220"/>
    <n v="73.3333333333333"/>
  </r>
  <r>
    <n v="0"/>
    <s v="group D"/>
    <x v="5"/>
    <n v="59"/>
    <n v="58"/>
    <n v="59"/>
    <n v="176"/>
    <n v="58.6666666666666"/>
  </r>
  <r>
    <n v="1"/>
    <s v="group B"/>
    <x v="5"/>
    <n v="67"/>
    <n v="64"/>
    <n v="61"/>
    <n v="192"/>
    <n v="64"/>
  </r>
  <r>
    <n v="1"/>
    <s v="group D"/>
    <x v="5"/>
    <n v="45"/>
    <n v="37"/>
    <n v="37"/>
    <n v="119"/>
    <n v="39.6666666666666"/>
  </r>
  <r>
    <n v="0"/>
    <s v="group C"/>
    <x v="1"/>
    <n v="60"/>
    <n v="72"/>
    <n v="74"/>
    <n v="206"/>
    <n v="68.6666666666666"/>
  </r>
  <r>
    <n v="1"/>
    <s v="group B"/>
    <x v="3"/>
    <n v="61"/>
    <n v="58"/>
    <n v="56"/>
    <n v="175"/>
    <n v="58.3333333333333"/>
  </r>
  <r>
    <n v="0"/>
    <s v="group C"/>
    <x v="3"/>
    <n v="39"/>
    <n v="64"/>
    <n v="57"/>
    <n v="160"/>
    <n v="53.3333333333333"/>
  </r>
  <r>
    <n v="0"/>
    <s v="group D"/>
    <x v="3"/>
    <n v="58"/>
    <n v="63"/>
    <n v="73"/>
    <n v="194"/>
    <n v="64.6666666666666"/>
  </r>
  <r>
    <n v="1"/>
    <s v="group D"/>
    <x v="1"/>
    <n v="63"/>
    <n v="55"/>
    <n v="63"/>
    <n v="181"/>
    <n v="60.3333333333333"/>
  </r>
  <r>
    <n v="0"/>
    <s v="group A"/>
    <x v="3"/>
    <n v="41"/>
    <n v="51"/>
    <n v="48"/>
    <n v="140"/>
    <n v="46.6666666666666"/>
  </r>
  <r>
    <n v="1"/>
    <s v="group C"/>
    <x v="5"/>
    <n v="61"/>
    <n v="57"/>
    <n v="56"/>
    <n v="174"/>
    <n v="58"/>
  </r>
  <r>
    <n v="1"/>
    <s v="group C"/>
    <x v="5"/>
    <n v="49"/>
    <n v="49"/>
    <n v="41"/>
    <n v="139"/>
    <n v="46.3333333333333"/>
  </r>
  <r>
    <n v="1"/>
    <s v="group B"/>
    <x v="3"/>
    <n v="44"/>
    <n v="41"/>
    <n v="38"/>
    <n v="123"/>
    <n v="41"/>
  </r>
  <r>
    <n v="1"/>
    <s v="group E"/>
    <x v="5"/>
    <n v="30"/>
    <n v="26"/>
    <n v="22"/>
    <n v="78"/>
    <n v="26"/>
  </r>
  <r>
    <n v="1"/>
    <s v="group A"/>
    <x v="0"/>
    <n v="80"/>
    <n v="78"/>
    <n v="81"/>
    <n v="239"/>
    <n v="79.6666666666666"/>
  </r>
  <r>
    <n v="0"/>
    <s v="group D"/>
    <x v="5"/>
    <n v="61"/>
    <n v="74"/>
    <n v="72"/>
    <n v="207"/>
    <n v="69"/>
  </r>
  <r>
    <n v="0"/>
    <s v="group E"/>
    <x v="2"/>
    <n v="62"/>
    <n v="68"/>
    <n v="68"/>
    <n v="198"/>
    <n v="66"/>
  </r>
  <r>
    <n v="0"/>
    <s v="group B"/>
    <x v="3"/>
    <n v="47"/>
    <n v="49"/>
    <n v="50"/>
    <n v="146"/>
    <n v="48.6666666666666"/>
  </r>
  <r>
    <n v="1"/>
    <s v="group B"/>
    <x v="4"/>
    <n v="49"/>
    <n v="45"/>
    <n v="45"/>
    <n v="139"/>
    <n v="46.3333333333333"/>
  </r>
  <r>
    <n v="1"/>
    <s v="group A"/>
    <x v="1"/>
    <n v="50"/>
    <n v="47"/>
    <n v="54"/>
    <n v="151"/>
    <n v="50.3333333333333"/>
  </r>
  <r>
    <n v="1"/>
    <s v="group E"/>
    <x v="3"/>
    <n v="72"/>
    <n v="64"/>
    <n v="63"/>
    <n v="199"/>
    <n v="66.3333333333333"/>
  </r>
  <r>
    <n v="1"/>
    <s v="group D"/>
    <x v="4"/>
    <n v="42"/>
    <n v="39"/>
    <n v="34"/>
    <n v="115"/>
    <n v="38.3333333333333"/>
  </r>
  <r>
    <n v="0"/>
    <s v="group C"/>
    <x v="1"/>
    <n v="73"/>
    <n v="80"/>
    <n v="82"/>
    <n v="235"/>
    <n v="78.3333333333333"/>
  </r>
  <r>
    <n v="0"/>
    <s v="group C"/>
    <x v="1"/>
    <n v="76"/>
    <n v="83"/>
    <n v="88"/>
    <n v="247"/>
    <n v="82.3333333333333"/>
  </r>
  <r>
    <n v="0"/>
    <s v="group D"/>
    <x v="3"/>
    <n v="71"/>
    <n v="71"/>
    <n v="74"/>
    <n v="216"/>
    <n v="72"/>
  </r>
  <r>
    <n v="0"/>
    <s v="group A"/>
    <x v="1"/>
    <n v="58"/>
    <n v="70"/>
    <n v="67"/>
    <n v="195"/>
    <n v="65"/>
  </r>
  <r>
    <n v="0"/>
    <s v="group D"/>
    <x v="5"/>
    <n v="73"/>
    <n v="86"/>
    <n v="82"/>
    <n v="241"/>
    <n v="80.3333333333333"/>
  </r>
  <r>
    <n v="0"/>
    <s v="group C"/>
    <x v="0"/>
    <n v="65"/>
    <n v="72"/>
    <n v="74"/>
    <n v="211"/>
    <n v="70.3333333333333"/>
  </r>
  <r>
    <n v="1"/>
    <s v="group C"/>
    <x v="4"/>
    <n v="27"/>
    <n v="34"/>
    <n v="36"/>
    <n v="97"/>
    <n v="32.333333333333336"/>
  </r>
  <r>
    <n v="1"/>
    <s v="group C"/>
    <x v="4"/>
    <n v="71"/>
    <n v="79"/>
    <n v="71"/>
    <n v="221"/>
    <n v="73.6666666666666"/>
  </r>
  <r>
    <n v="1"/>
    <s v="group C"/>
    <x v="3"/>
    <n v="43"/>
    <n v="45"/>
    <n v="50"/>
    <n v="138"/>
    <n v="46"/>
  </r>
  <r>
    <n v="0"/>
    <s v="group B"/>
    <x v="1"/>
    <n v="79"/>
    <n v="86"/>
    <n v="92"/>
    <n v="257"/>
    <n v="85.6666666666666"/>
  </r>
  <r>
    <n v="1"/>
    <s v="group C"/>
    <x v="3"/>
    <n v="78"/>
    <n v="81"/>
    <n v="82"/>
    <n v="241"/>
    <n v="80.3333333333333"/>
  </r>
  <r>
    <n v="1"/>
    <s v="group B"/>
    <x v="5"/>
    <n v="65"/>
    <n v="66"/>
    <n v="62"/>
    <n v="193"/>
    <n v="64.3333333333333"/>
  </r>
  <r>
    <n v="0"/>
    <s v="group E"/>
    <x v="1"/>
    <n v="63"/>
    <n v="72"/>
    <n v="70"/>
    <n v="205"/>
    <n v="68.3333333333333"/>
  </r>
  <r>
    <n v="0"/>
    <s v="group D"/>
    <x v="1"/>
    <n v="58"/>
    <n v="67"/>
    <n v="62"/>
    <n v="187"/>
    <n v="62.3333333333333"/>
  </r>
  <r>
    <n v="0"/>
    <s v="group D"/>
    <x v="0"/>
    <n v="65"/>
    <n v="67"/>
    <n v="62"/>
    <n v="194"/>
    <n v="64.6666666666666"/>
  </r>
  <r>
    <n v="1"/>
    <s v="group B"/>
    <x v="1"/>
    <n v="79"/>
    <n v="67"/>
    <n v="67"/>
    <n v="213"/>
    <n v="71"/>
  </r>
  <r>
    <n v="1"/>
    <s v="group D"/>
    <x v="0"/>
    <n v="68"/>
    <n v="74"/>
    <n v="74"/>
    <n v="216"/>
    <n v="72"/>
  </r>
  <r>
    <n v="0"/>
    <s v="group D"/>
    <x v="3"/>
    <n v="85"/>
    <n v="91"/>
    <n v="89"/>
    <n v="265"/>
    <n v="88.3333333333333"/>
  </r>
  <r>
    <n v="1"/>
    <s v="group B"/>
    <x v="4"/>
    <n v="60"/>
    <n v="44"/>
    <n v="47"/>
    <n v="151"/>
    <n v="50.3333333333333"/>
  </r>
  <r>
    <n v="1"/>
    <s v="group C"/>
    <x v="1"/>
    <n v="98"/>
    <n v="86"/>
    <n v="90"/>
    <n v="274"/>
    <n v="91.3333333333333"/>
  </r>
  <r>
    <n v="0"/>
    <s v="group C"/>
    <x v="1"/>
    <n v="58"/>
    <n v="67"/>
    <n v="72"/>
    <n v="197"/>
    <n v="65.6666666666666"/>
  </r>
  <r>
    <n v="0"/>
    <s v="group D"/>
    <x v="2"/>
    <n v="87"/>
    <n v="100"/>
    <n v="100"/>
    <n v="287"/>
    <n v="95.6666666666666"/>
  </r>
  <r>
    <n v="1"/>
    <s v="group E"/>
    <x v="3"/>
    <n v="66"/>
    <n v="63"/>
    <n v="64"/>
    <n v="193"/>
    <n v="64.333333333333329"/>
  </r>
  <r>
    <n v="0"/>
    <s v="group B"/>
    <x v="3"/>
    <n v="52"/>
    <n v="76"/>
    <n v="70"/>
    <n v="198"/>
    <n v="66"/>
  </r>
  <r>
    <n v="0"/>
    <s v="group B"/>
    <x v="5"/>
    <n v="70"/>
    <n v="64"/>
    <n v="72"/>
    <n v="206"/>
    <n v="68.6666666666666"/>
  </r>
  <r>
    <n v="0"/>
    <s v="group D"/>
    <x v="3"/>
    <n v="77"/>
    <n v="89"/>
    <n v="98"/>
    <n v="264"/>
    <n v="88"/>
  </r>
  <r>
    <n v="1"/>
    <s v="group C"/>
    <x v="4"/>
    <n v="62"/>
    <n v="55"/>
    <n v="49"/>
    <n v="166"/>
    <n v="55.3333333333333"/>
  </r>
  <r>
    <n v="1"/>
    <s v="group A"/>
    <x v="3"/>
    <n v="54"/>
    <n v="53"/>
    <n v="47"/>
    <n v="154"/>
    <n v="51.3333333333333"/>
  </r>
  <r>
    <n v="0"/>
    <s v="group D"/>
    <x v="1"/>
    <n v="51"/>
    <n v="58"/>
    <n v="54"/>
    <n v="163"/>
    <n v="54.3333333333333"/>
  </r>
  <r>
    <n v="0"/>
    <s v="group E"/>
    <x v="0"/>
    <n v="99"/>
    <n v="100"/>
    <n v="100"/>
    <n v="299"/>
    <n v="99.6666666666666"/>
  </r>
  <r>
    <n v="1"/>
    <s v="group C"/>
    <x v="4"/>
    <n v="84"/>
    <n v="77"/>
    <n v="74"/>
    <n v="235"/>
    <n v="78.3333333333333"/>
  </r>
  <r>
    <n v="0"/>
    <s v="group B"/>
    <x v="0"/>
    <n v="75"/>
    <n v="85"/>
    <n v="82"/>
    <n v="242"/>
    <n v="80.6666666666666"/>
  </r>
  <r>
    <n v="0"/>
    <s v="group D"/>
    <x v="0"/>
    <n v="78"/>
    <n v="82"/>
    <n v="79"/>
    <n v="239"/>
    <n v="79.6666666666666"/>
  </r>
  <r>
    <n v="0"/>
    <s v="group D"/>
    <x v="5"/>
    <n v="51"/>
    <n v="63"/>
    <n v="61"/>
    <n v="175"/>
    <n v="58.3333333333333"/>
  </r>
  <r>
    <n v="0"/>
    <s v="group C"/>
    <x v="1"/>
    <n v="55"/>
    <n v="69"/>
    <n v="65"/>
    <n v="189"/>
    <n v="63"/>
  </r>
  <r>
    <n v="0"/>
    <s v="group C"/>
    <x v="0"/>
    <n v="79"/>
    <n v="92"/>
    <n v="89"/>
    <n v="260"/>
    <n v="86.6666666666666"/>
  </r>
  <r>
    <n v="1"/>
    <s v="group B"/>
    <x v="3"/>
    <n v="91"/>
    <n v="89"/>
    <n v="92"/>
    <n v="272"/>
    <n v="90.6666666666666"/>
  </r>
  <r>
    <n v="0"/>
    <s v="group C"/>
    <x v="1"/>
    <n v="88"/>
    <n v="93"/>
    <n v="93"/>
    <n v="274"/>
    <n v="91.3333333333333"/>
  </r>
  <r>
    <n v="1"/>
    <s v="group D"/>
    <x v="4"/>
    <n v="63"/>
    <n v="57"/>
    <n v="56"/>
    <n v="176"/>
    <n v="58.6666666666666"/>
  </r>
  <r>
    <n v="1"/>
    <s v="group E"/>
    <x v="1"/>
    <n v="83"/>
    <n v="80"/>
    <n v="73"/>
    <n v="236"/>
    <n v="78.6666666666666"/>
  </r>
  <r>
    <n v="0"/>
    <s v="group B"/>
    <x v="4"/>
    <n v="87"/>
    <n v="95"/>
    <n v="86"/>
    <n v="268"/>
    <n v="89.3333333333333"/>
  </r>
  <r>
    <n v="1"/>
    <s v="group B"/>
    <x v="5"/>
    <n v="72"/>
    <n v="68"/>
    <n v="67"/>
    <n v="207"/>
    <n v="69"/>
  </r>
  <r>
    <n v="1"/>
    <s v="group D"/>
    <x v="1"/>
    <n v="65"/>
    <n v="77"/>
    <n v="74"/>
    <n v="216"/>
    <n v="72"/>
  </r>
  <r>
    <n v="1"/>
    <s v="group D"/>
    <x v="2"/>
    <n v="82"/>
    <n v="82"/>
    <n v="74"/>
    <n v="238"/>
    <n v="79.3333333333333"/>
  </r>
  <r>
    <n v="0"/>
    <s v="group A"/>
    <x v="0"/>
    <n v="51"/>
    <n v="49"/>
    <n v="51"/>
    <n v="151"/>
    <n v="50.3333333333333"/>
  </r>
  <r>
    <n v="1"/>
    <s v="group D"/>
    <x v="2"/>
    <n v="89"/>
    <n v="84"/>
    <n v="82"/>
    <n v="255"/>
    <n v="85"/>
  </r>
  <r>
    <n v="1"/>
    <s v="group C"/>
    <x v="5"/>
    <n v="53"/>
    <n v="37"/>
    <n v="40"/>
    <n v="130"/>
    <n v="43.3333333333333"/>
  </r>
  <r>
    <n v="1"/>
    <s v="group E"/>
    <x v="1"/>
    <n v="87"/>
    <n v="74"/>
    <n v="70"/>
    <n v="231"/>
    <n v="77"/>
  </r>
  <r>
    <n v="0"/>
    <s v="group C"/>
    <x v="1"/>
    <n v="75"/>
    <n v="81"/>
    <n v="84"/>
    <n v="240"/>
    <n v="80"/>
  </r>
  <r>
    <n v="1"/>
    <s v="group D"/>
    <x v="0"/>
    <n v="74"/>
    <n v="79"/>
    <n v="75"/>
    <n v="228"/>
    <n v="76"/>
  </r>
  <r>
    <n v="1"/>
    <s v="group C"/>
    <x v="0"/>
    <n v="58"/>
    <n v="55"/>
    <n v="48"/>
    <n v="161"/>
    <n v="53.6666666666666"/>
  </r>
  <r>
    <n v="1"/>
    <s v="group B"/>
    <x v="5"/>
    <n v="51"/>
    <n v="54"/>
    <n v="41"/>
    <n v="146"/>
    <n v="48.6666666666666"/>
  </r>
  <r>
    <n v="1"/>
    <s v="group E"/>
    <x v="4"/>
    <n v="70"/>
    <n v="55"/>
    <n v="56"/>
    <n v="181"/>
    <n v="60.3333333333333"/>
  </r>
  <r>
    <n v="0"/>
    <s v="group C"/>
    <x v="3"/>
    <n v="59"/>
    <n v="66"/>
    <n v="67"/>
    <n v="192"/>
    <n v="64"/>
  </r>
  <r>
    <n v="1"/>
    <s v="group D"/>
    <x v="1"/>
    <n v="71"/>
    <n v="61"/>
    <n v="69"/>
    <n v="201"/>
    <n v="67"/>
  </r>
  <r>
    <n v="0"/>
    <s v="group D"/>
    <x v="5"/>
    <n v="76"/>
    <n v="72"/>
    <n v="71"/>
    <n v="219"/>
    <n v="73"/>
  </r>
  <r>
    <n v="0"/>
    <s v="group C"/>
    <x v="1"/>
    <n v="59"/>
    <n v="62"/>
    <n v="64"/>
    <n v="185"/>
    <n v="61.6666666666666"/>
  </r>
  <r>
    <n v="0"/>
    <s v="group E"/>
    <x v="1"/>
    <n v="42"/>
    <n v="55"/>
    <n v="54"/>
    <n v="151"/>
    <n v="50.3333333333333"/>
  </r>
  <r>
    <n v="1"/>
    <s v="group A"/>
    <x v="4"/>
    <n v="57"/>
    <n v="43"/>
    <n v="47"/>
    <n v="147"/>
    <n v="49"/>
  </r>
  <r>
    <n v="1"/>
    <s v="group D"/>
    <x v="1"/>
    <n v="88"/>
    <n v="73"/>
    <n v="78"/>
    <n v="239"/>
    <n v="79.6666666666666"/>
  </r>
  <r>
    <n v="0"/>
    <s v="group C"/>
    <x v="1"/>
    <n v="22"/>
    <n v="39"/>
    <n v="33"/>
    <n v="94"/>
    <n v="31.3333333333333"/>
  </r>
  <r>
    <n v="1"/>
    <s v="group B"/>
    <x v="5"/>
    <n v="88"/>
    <n v="84"/>
    <n v="75"/>
    <n v="247"/>
    <n v="82.3333333333333"/>
  </r>
  <r>
    <n v="1"/>
    <s v="group C"/>
    <x v="3"/>
    <n v="73"/>
    <n v="68"/>
    <n v="66"/>
    <n v="207"/>
    <n v="69"/>
  </r>
  <r>
    <n v="0"/>
    <s v="group D"/>
    <x v="0"/>
    <n v="68"/>
    <n v="75"/>
    <n v="81"/>
    <n v="224"/>
    <n v="74.6666666666666"/>
  </r>
  <r>
    <n v="1"/>
    <s v="group E"/>
    <x v="3"/>
    <n v="100"/>
    <n v="100"/>
    <n v="93"/>
    <n v="293"/>
    <n v="97.6666666666666"/>
  </r>
  <r>
    <n v="1"/>
    <s v="group A"/>
    <x v="5"/>
    <n v="62"/>
    <n v="67"/>
    <n v="69"/>
    <n v="198"/>
    <n v="66"/>
  </r>
  <r>
    <n v="1"/>
    <s v="group A"/>
    <x v="0"/>
    <n v="77"/>
    <n v="67"/>
    <n v="68"/>
    <n v="212"/>
    <n v="70.6666666666666"/>
  </r>
  <r>
    <n v="0"/>
    <s v="group B"/>
    <x v="3"/>
    <n v="59"/>
    <n v="70"/>
    <n v="66"/>
    <n v="195"/>
    <n v="65"/>
  </r>
  <r>
    <n v="1"/>
    <s v="group D"/>
    <x v="0"/>
    <n v="54"/>
    <n v="49"/>
    <n v="47"/>
    <n v="150"/>
    <n v="50"/>
  </r>
  <r>
    <n v="1"/>
    <s v="group D"/>
    <x v="5"/>
    <n v="62"/>
    <n v="67"/>
    <n v="61"/>
    <n v="190"/>
    <n v="63.3333333333333"/>
  </r>
  <r>
    <n v="0"/>
    <s v="group C"/>
    <x v="1"/>
    <n v="70"/>
    <n v="89"/>
    <n v="88"/>
    <n v="247"/>
    <n v="82.3333333333333"/>
  </r>
  <r>
    <n v="0"/>
    <s v="group E"/>
    <x v="4"/>
    <n v="66"/>
    <n v="74"/>
    <n v="78"/>
    <n v="218"/>
    <n v="72.6666666666666"/>
  </r>
  <r>
    <n v="1"/>
    <s v="group B"/>
    <x v="1"/>
    <n v="60"/>
    <n v="60"/>
    <n v="60"/>
    <n v="180"/>
    <n v="60"/>
  </r>
  <r>
    <n v="0"/>
    <s v="group B"/>
    <x v="3"/>
    <n v="61"/>
    <n v="86"/>
    <n v="87"/>
    <n v="234"/>
    <n v="78"/>
  </r>
  <r>
    <n v="1"/>
    <s v="group D"/>
    <x v="3"/>
    <n v="66"/>
    <n v="62"/>
    <n v="64"/>
    <n v="192"/>
    <n v="64"/>
  </r>
  <r>
    <n v="1"/>
    <s v="group B"/>
    <x v="3"/>
    <n v="82"/>
    <n v="78"/>
    <n v="74"/>
    <n v="234"/>
    <n v="78"/>
  </r>
  <r>
    <n v="0"/>
    <s v="group E"/>
    <x v="1"/>
    <n v="75"/>
    <n v="88"/>
    <n v="85"/>
    <n v="248"/>
    <n v="82.6666666666666"/>
  </r>
  <r>
    <n v="1"/>
    <s v="group B"/>
    <x v="2"/>
    <n v="49"/>
    <n v="53"/>
    <n v="52"/>
    <n v="154"/>
    <n v="51.3333333333333"/>
  </r>
  <r>
    <n v="1"/>
    <s v="group C"/>
    <x v="4"/>
    <n v="52"/>
    <n v="53"/>
    <n v="49"/>
    <n v="154"/>
    <n v="51.3333333333333"/>
  </r>
  <r>
    <n v="0"/>
    <s v="group E"/>
    <x v="2"/>
    <n v="81"/>
    <n v="92"/>
    <n v="91"/>
    <n v="264"/>
    <n v="88"/>
  </r>
  <r>
    <n v="0"/>
    <s v="group C"/>
    <x v="0"/>
    <n v="96"/>
    <n v="100"/>
    <n v="100"/>
    <n v="296"/>
    <n v="98.6666666666666"/>
  </r>
  <r>
    <n v="1"/>
    <s v="group C"/>
    <x v="4"/>
    <n v="53"/>
    <n v="51"/>
    <n v="51"/>
    <n v="155"/>
    <n v="51.6666666666666"/>
  </r>
  <r>
    <n v="0"/>
    <s v="group B"/>
    <x v="2"/>
    <n v="58"/>
    <n v="76"/>
    <n v="78"/>
    <n v="212"/>
    <n v="70.6666666666666"/>
  </r>
  <r>
    <n v="0"/>
    <s v="group B"/>
    <x v="4"/>
    <n v="68"/>
    <n v="83"/>
    <n v="78"/>
    <n v="229"/>
    <n v="76.3333333333333"/>
  </r>
  <r>
    <n v="0"/>
    <s v="group C"/>
    <x v="1"/>
    <n v="67"/>
    <n v="75"/>
    <n v="70"/>
    <n v="212"/>
    <n v="70.6666666666666"/>
  </r>
  <r>
    <n v="1"/>
    <s v="group A"/>
    <x v="4"/>
    <n v="72"/>
    <n v="73"/>
    <n v="74"/>
    <n v="219"/>
    <n v="73"/>
  </r>
  <r>
    <n v="1"/>
    <s v="group E"/>
    <x v="5"/>
    <n v="94"/>
    <n v="88"/>
    <n v="78"/>
    <n v="260"/>
    <n v="86.6666666666666"/>
  </r>
  <r>
    <n v="0"/>
    <s v="group D"/>
    <x v="1"/>
    <n v="79"/>
    <n v="86"/>
    <n v="81"/>
    <n v="246"/>
    <n v="82"/>
  </r>
  <r>
    <n v="0"/>
    <s v="group C"/>
    <x v="3"/>
    <n v="63"/>
    <n v="67"/>
    <n v="70"/>
    <n v="200"/>
    <n v="66.6666666666666"/>
  </r>
  <r>
    <n v="0"/>
    <s v="group C"/>
    <x v="0"/>
    <n v="43"/>
    <n v="51"/>
    <n v="54"/>
    <n v="148"/>
    <n v="49.3333333333333"/>
  </r>
  <r>
    <n v="0"/>
    <s v="group C"/>
    <x v="2"/>
    <n v="81"/>
    <n v="91"/>
    <n v="87"/>
    <n v="259"/>
    <n v="86.3333333333333"/>
  </r>
  <r>
    <n v="0"/>
    <s v="group B"/>
    <x v="4"/>
    <n v="46"/>
    <n v="54"/>
    <n v="58"/>
    <n v="158"/>
    <n v="52.6666666666666"/>
  </r>
  <r>
    <n v="0"/>
    <s v="group C"/>
    <x v="3"/>
    <n v="71"/>
    <n v="77"/>
    <n v="77"/>
    <n v="225"/>
    <n v="75"/>
  </r>
  <r>
    <n v="0"/>
    <s v="group B"/>
    <x v="2"/>
    <n v="52"/>
    <n v="70"/>
    <n v="62"/>
    <n v="184"/>
    <n v="61.3333333333333"/>
  </r>
  <r>
    <n v="0"/>
    <s v="group D"/>
    <x v="5"/>
    <n v="97"/>
    <n v="100"/>
    <n v="100"/>
    <n v="297"/>
    <n v="99"/>
  </r>
  <r>
    <n v="1"/>
    <s v="group C"/>
    <x v="2"/>
    <n v="62"/>
    <n v="68"/>
    <n v="75"/>
    <n v="205"/>
    <n v="68.3333333333333"/>
  </r>
  <r>
    <n v="0"/>
    <s v="group C"/>
    <x v="1"/>
    <n v="46"/>
    <n v="64"/>
    <n v="66"/>
    <n v="176"/>
    <n v="58.6666666666666"/>
  </r>
  <r>
    <n v="0"/>
    <s v="group E"/>
    <x v="4"/>
    <n v="50"/>
    <n v="50"/>
    <n v="47"/>
    <n v="147"/>
    <n v="49"/>
  </r>
  <r>
    <n v="0"/>
    <s v="group D"/>
    <x v="3"/>
    <n v="65"/>
    <n v="69"/>
    <n v="70"/>
    <n v="204"/>
    <n v="68"/>
  </r>
  <r>
    <n v="1"/>
    <s v="group C"/>
    <x v="5"/>
    <n v="45"/>
    <n v="52"/>
    <n v="49"/>
    <n v="146"/>
    <n v="48.6666666666666"/>
  </r>
  <r>
    <n v="1"/>
    <s v="group C"/>
    <x v="3"/>
    <n v="65"/>
    <n v="67"/>
    <n v="65"/>
    <n v="197"/>
    <n v="65.6666666666666"/>
  </r>
  <r>
    <n v="1"/>
    <s v="group E"/>
    <x v="4"/>
    <n v="80"/>
    <n v="76"/>
    <n v="65"/>
    <n v="221"/>
    <n v="73.6666666666666"/>
  </r>
  <r>
    <n v="1"/>
    <s v="group D"/>
    <x v="5"/>
    <n v="62"/>
    <n v="66"/>
    <n v="68"/>
    <n v="196"/>
    <n v="65.3333333333333"/>
  </r>
  <r>
    <n v="1"/>
    <s v="group B"/>
    <x v="5"/>
    <n v="48"/>
    <n v="52"/>
    <n v="45"/>
    <n v="145"/>
    <n v="48.3333333333333"/>
  </r>
  <r>
    <n v="0"/>
    <s v="group C"/>
    <x v="0"/>
    <n v="77"/>
    <n v="88"/>
    <n v="87"/>
    <n v="252"/>
    <n v="84"/>
  </r>
  <r>
    <n v="0"/>
    <s v="group E"/>
    <x v="3"/>
    <n v="66"/>
    <n v="65"/>
    <n v="69"/>
    <n v="200"/>
    <n v="66.6666666666666"/>
  </r>
  <r>
    <n v="1"/>
    <s v="group D"/>
    <x v="1"/>
    <n v="76"/>
    <n v="83"/>
    <n v="79"/>
    <n v="238"/>
    <n v="79.3333333333333"/>
  </r>
  <r>
    <n v="0"/>
    <s v="group B"/>
    <x v="5"/>
    <n v="62"/>
    <n v="64"/>
    <n v="66"/>
    <n v="192"/>
    <n v="64"/>
  </r>
  <r>
    <n v="1"/>
    <s v="group D"/>
    <x v="1"/>
    <n v="77"/>
    <n v="62"/>
    <n v="62"/>
    <n v="201"/>
    <n v="67"/>
  </r>
  <r>
    <n v="0"/>
    <s v="group C"/>
    <x v="2"/>
    <n v="69"/>
    <n v="84"/>
    <n v="85"/>
    <n v="238"/>
    <n v="79.3333333333333"/>
  </r>
  <r>
    <n v="1"/>
    <s v="group D"/>
    <x v="3"/>
    <n v="61"/>
    <n v="55"/>
    <n v="52"/>
    <n v="168"/>
    <n v="56"/>
  </r>
  <r>
    <n v="1"/>
    <s v="group C"/>
    <x v="5"/>
    <n v="59"/>
    <n v="69"/>
    <n v="65"/>
    <n v="193"/>
    <n v="64.3333333333333"/>
  </r>
  <r>
    <n v="1"/>
    <s v="group E"/>
    <x v="4"/>
    <n v="55"/>
    <n v="56"/>
    <n v="51"/>
    <n v="162"/>
    <n v="54"/>
  </r>
  <r>
    <n v="0"/>
    <s v="group B"/>
    <x v="1"/>
    <n v="45"/>
    <n v="53"/>
    <n v="55"/>
    <n v="153"/>
    <n v="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C7B9CD-662F-754E-A0A2-31D16C8EC206}" name="PivotTable19" cacheId="3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Parental level of Education">
  <location ref="J2:K5" firstHeaderRow="1" firstDataRow="1" firstDataCol="1"/>
  <pivotFields count="8">
    <pivotField showAll="0"/>
    <pivotField dataField="1" showAll="0"/>
    <pivotField axis="axisRow" multipleItemSelectionAllowed="1" showAll="0">
      <items count="8">
        <item x="3"/>
        <item x="0"/>
        <item h="1" x="4"/>
        <item h="1" x="2"/>
        <item h="1" x="1"/>
        <item h="1" x="5"/>
        <item h="1" x="6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race_ethnicity" fld="1" subtotal="count" baseField="0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A9175E-C182-9946-9854-243124DBA5B8}" name="PivotTable18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Race Ethnicity">
  <location ref="J39:M45" firstHeaderRow="0" firstDataRow="1" firstDataCol="1"/>
  <pivotFields count="8">
    <pivotField showAll="0">
      <items count="3">
        <item x="0"/>
        <item x="1"/>
        <item t="default"/>
      </items>
    </pivotField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dataField="1" showAll="0"/>
    <pivotField dataField="1" showAll="0"/>
    <pivotField dataField="1" showAll="0"/>
    <pivotField showAll="0"/>
    <pivotField numFmtId="2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Math Score" fld="3" subtotal="average" baseField="0" baseItem="0"/>
    <dataField name="Average of Reading Score" fld="4" subtotal="average" baseField="0" baseItem="0"/>
    <dataField name="Average of Writing Score" fld="5" subtotal="average" baseField="0" baseItem="0"/>
  </dataFields>
  <formats count="1">
    <format dxfId="12">
      <pivotArea outline="0" collapsedLevelsAreSubtotals="1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1D6B7-2184-E14E-9BFB-3DC254063E7C}" name="PivotTable17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Parental level of Education">
  <location ref="J7:K14" firstHeaderRow="1" firstDataRow="1" firstDataCol="1"/>
  <pivotFields count="8">
    <pivotField showAll="0"/>
    <pivotField showAll="0"/>
    <pivotField axis="axisRow" showAll="0">
      <items count="7">
        <item x="3"/>
        <item x="0"/>
        <item x="4"/>
        <item x="2"/>
        <item x="1"/>
        <item x="5"/>
        <item t="default"/>
      </items>
    </pivotField>
    <pivotField showAll="0"/>
    <pivotField showAll="0"/>
    <pivotField showAll="0"/>
    <pivotField dataField="1" showAll="0"/>
    <pivotField numFmtId="2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Total Score" fld="6" subtotal="average" baseField="0" baseItem="0" numFmtId="2"/>
  </dataFields>
  <formats count="1">
    <format dxfId="13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C3F591-327E-1B4F-BA3E-5FFE0A134542}" name="Table14" displayName="Table14" ref="A1:H200" headerRowDxfId="16">
  <autoFilter ref="A1:H200" xr:uid="{AEC3F591-327E-1B4F-BA3E-5FFE0A134542}"/>
  <tableColumns count="8">
    <tableColumn id="1" xr3:uid="{3B3726CB-79F6-8E47-A9A2-BECC596ABF9F}" name="Gender" totalsRowLabel="Total"/>
    <tableColumn id="2" xr3:uid="{BD82E088-CACA-4241-B47D-970C6B810807}" name="Race Ethnicity"/>
    <tableColumn id="3" xr3:uid="{A1D16646-7825-A347-908B-B4F62F5D1F43}" name="Parental level of Education"/>
    <tableColumn id="4" xr3:uid="{F3C8C046-E41E-0F4B-BFA6-CB6CBB1CFD6D}" name="Math Score"/>
    <tableColumn id="5" xr3:uid="{104EDB14-C5B8-8B4F-98C2-9D6A86AC8C56}" name="Reading Score"/>
    <tableColumn id="6" xr3:uid="{56EDC00B-D32E-DF4A-9F06-8AF6E3564016}" name="Writing Score"/>
    <tableColumn id="7" xr3:uid="{B88271BE-3C0F-534A-9E18-2F9D4213296B}" name="Total Score"/>
    <tableColumn id="8" xr3:uid="{0B36454C-CED0-BE46-A101-3EFC796CDC98}" name="Average Score" totalsRowFunction="sum" dataDxfId="14" totalsRowDxfId="15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8F258-C87A-7B41-A6ED-A60524465097}">
  <dimension ref="A1:M200"/>
  <sheetViews>
    <sheetView tabSelected="1" zoomScale="81" workbookViewId="0">
      <selection activeCell="P45" sqref="P45"/>
    </sheetView>
  </sheetViews>
  <sheetFormatPr baseColWidth="10" defaultRowHeight="15" x14ac:dyDescent="0.2"/>
  <cols>
    <col min="2" max="2" width="16.1640625" customWidth="1"/>
    <col min="3" max="3" width="25.83203125" customWidth="1"/>
    <col min="4" max="4" width="13.83203125" customWidth="1"/>
    <col min="5" max="5" width="16" customWidth="1"/>
    <col min="6" max="6" width="17.83203125" customWidth="1"/>
    <col min="7" max="7" width="14.1640625" customWidth="1"/>
    <col min="8" max="8" width="20.1640625" customWidth="1"/>
    <col min="10" max="10" width="24.6640625" bestFit="1" customWidth="1"/>
    <col min="11" max="11" width="19.6640625" customWidth="1"/>
    <col min="13" max="13" width="19" customWidth="1"/>
  </cols>
  <sheetData>
    <row r="1" spans="1:11" x14ac:dyDescent="0.2">
      <c r="A1" s="6" t="s">
        <v>20</v>
      </c>
      <c r="B1" s="6" t="s">
        <v>14</v>
      </c>
      <c r="C1" s="6" t="s">
        <v>13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</row>
    <row r="2" spans="1:11" ht="24" customHeight="1" x14ac:dyDescent="0.2">
      <c r="A2">
        <v>0</v>
      </c>
      <c r="B2" t="s">
        <v>0</v>
      </c>
      <c r="C2" t="s">
        <v>1</v>
      </c>
      <c r="D2">
        <v>72</v>
      </c>
      <c r="E2">
        <v>72</v>
      </c>
      <c r="F2">
        <v>74</v>
      </c>
      <c r="G2">
        <v>218</v>
      </c>
      <c r="H2" s="1">
        <v>72.6666666666666</v>
      </c>
      <c r="J2" s="8" t="s">
        <v>13</v>
      </c>
      <c r="K2" s="7" t="s">
        <v>12</v>
      </c>
    </row>
    <row r="3" spans="1:11" ht="37" customHeight="1" x14ac:dyDescent="0.2">
      <c r="A3">
        <v>0</v>
      </c>
      <c r="B3" t="s">
        <v>2</v>
      </c>
      <c r="C3" t="s">
        <v>3</v>
      </c>
      <c r="D3">
        <v>69</v>
      </c>
      <c r="E3">
        <v>90</v>
      </c>
      <c r="F3">
        <v>88</v>
      </c>
      <c r="G3">
        <v>247</v>
      </c>
      <c r="H3" s="1">
        <v>82.3333333333333</v>
      </c>
      <c r="J3" s="7" t="s">
        <v>6</v>
      </c>
      <c r="K3" s="6">
        <v>50</v>
      </c>
    </row>
    <row r="4" spans="1:11" ht="32" customHeight="1" x14ac:dyDescent="0.2">
      <c r="A4">
        <v>0</v>
      </c>
      <c r="B4" t="s">
        <v>0</v>
      </c>
      <c r="C4" t="s">
        <v>4</v>
      </c>
      <c r="D4">
        <v>90</v>
      </c>
      <c r="E4">
        <v>95</v>
      </c>
      <c r="F4">
        <v>93</v>
      </c>
      <c r="G4">
        <v>278</v>
      </c>
      <c r="H4" s="1">
        <v>92.6666666666666</v>
      </c>
      <c r="J4" s="7" t="s">
        <v>1</v>
      </c>
      <c r="K4" s="6">
        <v>21</v>
      </c>
    </row>
    <row r="5" spans="1:11" ht="29" customHeight="1" x14ac:dyDescent="0.2">
      <c r="A5">
        <v>1</v>
      </c>
      <c r="B5" t="s">
        <v>5</v>
      </c>
      <c r="C5" t="s">
        <v>6</v>
      </c>
      <c r="D5">
        <v>47</v>
      </c>
      <c r="E5">
        <v>57</v>
      </c>
      <c r="F5">
        <v>44</v>
      </c>
      <c r="G5">
        <v>148</v>
      </c>
      <c r="H5" s="1">
        <v>49.3333333333333</v>
      </c>
      <c r="J5" s="7" t="s">
        <v>11</v>
      </c>
      <c r="K5" s="6">
        <v>71</v>
      </c>
    </row>
    <row r="6" spans="1:11" x14ac:dyDescent="0.2">
      <c r="A6">
        <v>1</v>
      </c>
      <c r="B6" t="s">
        <v>2</v>
      </c>
      <c r="C6" t="s">
        <v>3</v>
      </c>
      <c r="D6">
        <v>76</v>
      </c>
      <c r="E6">
        <v>78</v>
      </c>
      <c r="F6">
        <v>75</v>
      </c>
      <c r="G6">
        <v>229</v>
      </c>
      <c r="H6" s="1">
        <v>76.3333333333333</v>
      </c>
    </row>
    <row r="7" spans="1:11" x14ac:dyDescent="0.2">
      <c r="A7">
        <v>0</v>
      </c>
      <c r="B7" t="s">
        <v>0</v>
      </c>
      <c r="C7" t="s">
        <v>6</v>
      </c>
      <c r="D7">
        <v>71</v>
      </c>
      <c r="E7">
        <v>83</v>
      </c>
      <c r="F7">
        <v>78</v>
      </c>
      <c r="G7">
        <v>232</v>
      </c>
      <c r="H7" s="1">
        <v>77.3333333333333</v>
      </c>
      <c r="J7" s="2" t="s">
        <v>13</v>
      </c>
      <c r="K7" t="s">
        <v>24</v>
      </c>
    </row>
    <row r="8" spans="1:11" x14ac:dyDescent="0.2">
      <c r="A8">
        <v>0</v>
      </c>
      <c r="B8" t="s">
        <v>0</v>
      </c>
      <c r="C8" t="s">
        <v>3</v>
      </c>
      <c r="D8">
        <v>88</v>
      </c>
      <c r="E8">
        <v>95</v>
      </c>
      <c r="F8">
        <v>92</v>
      </c>
      <c r="G8">
        <v>275</v>
      </c>
      <c r="H8" s="1">
        <v>91.6666666666666</v>
      </c>
      <c r="J8" s="3" t="s">
        <v>6</v>
      </c>
      <c r="K8" s="1">
        <v>195.60784313725489</v>
      </c>
    </row>
    <row r="9" spans="1:11" x14ac:dyDescent="0.2">
      <c r="A9">
        <v>1</v>
      </c>
      <c r="B9" t="s">
        <v>0</v>
      </c>
      <c r="C9" t="s">
        <v>3</v>
      </c>
      <c r="D9">
        <v>40</v>
      </c>
      <c r="E9">
        <v>43</v>
      </c>
      <c r="F9">
        <v>39</v>
      </c>
      <c r="G9">
        <v>122</v>
      </c>
      <c r="H9" s="1">
        <v>40.6666666666666</v>
      </c>
      <c r="J9" s="3" t="s">
        <v>1</v>
      </c>
      <c r="K9" s="1">
        <v>219.0952380952381</v>
      </c>
    </row>
    <row r="10" spans="1:11" x14ac:dyDescent="0.2">
      <c r="A10">
        <v>1</v>
      </c>
      <c r="B10" t="s">
        <v>7</v>
      </c>
      <c r="C10" t="s">
        <v>8</v>
      </c>
      <c r="D10">
        <v>64</v>
      </c>
      <c r="E10">
        <v>64</v>
      </c>
      <c r="F10">
        <v>67</v>
      </c>
      <c r="G10">
        <v>195</v>
      </c>
      <c r="H10" s="1">
        <v>65</v>
      </c>
      <c r="J10" s="3" t="s">
        <v>8</v>
      </c>
      <c r="K10" s="1">
        <v>186.86666666666667</v>
      </c>
    </row>
    <row r="11" spans="1:11" x14ac:dyDescent="0.2">
      <c r="A11">
        <v>0</v>
      </c>
      <c r="B11" t="s">
        <v>0</v>
      </c>
      <c r="C11" t="s">
        <v>8</v>
      </c>
      <c r="D11">
        <v>38</v>
      </c>
      <c r="E11">
        <v>60</v>
      </c>
      <c r="F11">
        <v>50</v>
      </c>
      <c r="G11">
        <v>148</v>
      </c>
      <c r="H11" s="1">
        <v>49.3333333333333</v>
      </c>
      <c r="J11" s="3" t="s">
        <v>4</v>
      </c>
      <c r="K11" s="1">
        <v>216.8235294117647</v>
      </c>
    </row>
    <row r="12" spans="1:11" x14ac:dyDescent="0.2">
      <c r="A12">
        <v>1</v>
      </c>
      <c r="B12" t="s">
        <v>2</v>
      </c>
      <c r="C12" t="s">
        <v>6</v>
      </c>
      <c r="D12">
        <v>58</v>
      </c>
      <c r="E12">
        <v>54</v>
      </c>
      <c r="F12">
        <v>52</v>
      </c>
      <c r="G12">
        <v>164</v>
      </c>
      <c r="H12" s="1">
        <v>54.6666666666666</v>
      </c>
      <c r="J12" s="3" t="s">
        <v>3</v>
      </c>
      <c r="K12" s="1">
        <v>203.10204081632654</v>
      </c>
    </row>
    <row r="13" spans="1:11" x14ac:dyDescent="0.2">
      <c r="A13">
        <v>1</v>
      </c>
      <c r="B13" t="s">
        <v>7</v>
      </c>
      <c r="C13" t="s">
        <v>6</v>
      </c>
      <c r="D13">
        <v>40</v>
      </c>
      <c r="E13">
        <v>52</v>
      </c>
      <c r="F13">
        <v>43</v>
      </c>
      <c r="G13">
        <v>135</v>
      </c>
      <c r="H13" s="1">
        <v>45</v>
      </c>
      <c r="J13" s="3" t="s">
        <v>9</v>
      </c>
      <c r="K13" s="1">
        <v>181.38709677419354</v>
      </c>
    </row>
    <row r="14" spans="1:11" x14ac:dyDescent="0.2">
      <c r="A14">
        <v>0</v>
      </c>
      <c r="B14" t="s">
        <v>0</v>
      </c>
      <c r="C14" t="s">
        <v>8</v>
      </c>
      <c r="D14">
        <v>65</v>
      </c>
      <c r="E14">
        <v>81</v>
      </c>
      <c r="F14">
        <v>73</v>
      </c>
      <c r="G14">
        <v>219</v>
      </c>
      <c r="H14" s="1">
        <v>73</v>
      </c>
      <c r="J14" s="3" t="s">
        <v>11</v>
      </c>
      <c r="K14" s="1">
        <v>198.2110552763819</v>
      </c>
    </row>
    <row r="15" spans="1:11" x14ac:dyDescent="0.2">
      <c r="A15">
        <v>1</v>
      </c>
      <c r="B15" t="s">
        <v>5</v>
      </c>
      <c r="C15" t="s">
        <v>3</v>
      </c>
      <c r="D15">
        <v>78</v>
      </c>
      <c r="E15">
        <v>72</v>
      </c>
      <c r="F15">
        <v>70</v>
      </c>
      <c r="G15">
        <v>220</v>
      </c>
      <c r="H15" s="1">
        <v>73.3333333333333</v>
      </c>
    </row>
    <row r="16" spans="1:11" x14ac:dyDescent="0.2">
      <c r="A16">
        <v>0</v>
      </c>
      <c r="B16" t="s">
        <v>5</v>
      </c>
      <c r="C16" t="s">
        <v>4</v>
      </c>
      <c r="D16">
        <v>50</v>
      </c>
      <c r="E16">
        <v>53</v>
      </c>
      <c r="F16">
        <v>58</v>
      </c>
      <c r="G16">
        <v>161</v>
      </c>
      <c r="H16" s="1">
        <v>53.6666666666666</v>
      </c>
    </row>
    <row r="17" spans="1:8" x14ac:dyDescent="0.2">
      <c r="A17">
        <v>0</v>
      </c>
      <c r="B17" t="s">
        <v>2</v>
      </c>
      <c r="C17" t="s">
        <v>9</v>
      </c>
      <c r="D17">
        <v>69</v>
      </c>
      <c r="E17">
        <v>75</v>
      </c>
      <c r="F17">
        <v>78</v>
      </c>
      <c r="G17">
        <v>222</v>
      </c>
      <c r="H17" s="1">
        <v>74</v>
      </c>
    </row>
    <row r="18" spans="1:8" x14ac:dyDescent="0.2">
      <c r="A18">
        <v>1</v>
      </c>
      <c r="B18" t="s">
        <v>2</v>
      </c>
      <c r="C18" t="s">
        <v>8</v>
      </c>
      <c r="D18">
        <v>88</v>
      </c>
      <c r="E18">
        <v>89</v>
      </c>
      <c r="F18">
        <v>86</v>
      </c>
      <c r="G18">
        <v>263</v>
      </c>
      <c r="H18" s="1">
        <v>87.6666666666666</v>
      </c>
    </row>
    <row r="19" spans="1:8" x14ac:dyDescent="0.2">
      <c r="A19">
        <v>0</v>
      </c>
      <c r="B19" t="s">
        <v>0</v>
      </c>
      <c r="C19" t="s">
        <v>9</v>
      </c>
      <c r="D19">
        <v>18</v>
      </c>
      <c r="E19">
        <v>32</v>
      </c>
      <c r="F19">
        <v>28</v>
      </c>
      <c r="G19">
        <v>78</v>
      </c>
      <c r="H19" s="1">
        <v>26</v>
      </c>
    </row>
    <row r="20" spans="1:8" x14ac:dyDescent="0.2">
      <c r="A20">
        <v>1</v>
      </c>
      <c r="B20" t="s">
        <v>2</v>
      </c>
      <c r="C20" t="s">
        <v>4</v>
      </c>
      <c r="D20">
        <v>46</v>
      </c>
      <c r="E20">
        <v>42</v>
      </c>
      <c r="F20">
        <v>46</v>
      </c>
      <c r="G20">
        <v>134</v>
      </c>
      <c r="H20" s="5">
        <f>Table14[[#This Row],[Total Score]]/3</f>
        <v>44.666666666666664</v>
      </c>
    </row>
    <row r="21" spans="1:8" x14ac:dyDescent="0.2">
      <c r="A21">
        <v>0</v>
      </c>
      <c r="B21" t="s">
        <v>2</v>
      </c>
      <c r="C21" t="s">
        <v>6</v>
      </c>
      <c r="D21">
        <v>54</v>
      </c>
      <c r="E21">
        <v>58</v>
      </c>
      <c r="F21">
        <v>61</v>
      </c>
      <c r="G21">
        <v>173</v>
      </c>
      <c r="H21" s="1">
        <v>57.6666666666666</v>
      </c>
    </row>
    <row r="22" spans="1:8" x14ac:dyDescent="0.2">
      <c r="A22">
        <v>1</v>
      </c>
      <c r="B22" t="s">
        <v>7</v>
      </c>
      <c r="C22" t="s">
        <v>8</v>
      </c>
      <c r="D22">
        <v>66</v>
      </c>
      <c r="E22">
        <v>69</v>
      </c>
      <c r="F22">
        <v>63</v>
      </c>
      <c r="G22">
        <v>198</v>
      </c>
      <c r="H22" s="1">
        <v>66</v>
      </c>
    </row>
    <row r="23" spans="1:8" x14ac:dyDescent="0.2">
      <c r="A23">
        <v>0</v>
      </c>
      <c r="B23" t="s">
        <v>0</v>
      </c>
      <c r="C23" t="s">
        <v>3</v>
      </c>
      <c r="D23">
        <v>65</v>
      </c>
      <c r="E23">
        <v>75</v>
      </c>
      <c r="F23">
        <v>70</v>
      </c>
      <c r="G23">
        <v>210</v>
      </c>
      <c r="H23" s="1">
        <v>70</v>
      </c>
    </row>
    <row r="24" spans="1:8" x14ac:dyDescent="0.2">
      <c r="A24">
        <v>1</v>
      </c>
      <c r="B24" t="s">
        <v>7</v>
      </c>
      <c r="C24" t="s">
        <v>3</v>
      </c>
      <c r="D24">
        <v>44</v>
      </c>
      <c r="E24">
        <v>54</v>
      </c>
      <c r="F24">
        <v>53</v>
      </c>
      <c r="G24">
        <v>151</v>
      </c>
      <c r="H24" s="1">
        <v>50.3333333333333</v>
      </c>
    </row>
    <row r="25" spans="1:8" x14ac:dyDescent="0.2">
      <c r="A25">
        <v>0</v>
      </c>
      <c r="B25" t="s">
        <v>2</v>
      </c>
      <c r="C25" t="s">
        <v>9</v>
      </c>
      <c r="D25">
        <v>69</v>
      </c>
      <c r="E25">
        <v>73</v>
      </c>
      <c r="F25">
        <v>73</v>
      </c>
      <c r="G25">
        <v>215</v>
      </c>
      <c r="H25" s="1">
        <v>71.6666666666666</v>
      </c>
    </row>
    <row r="26" spans="1:8" x14ac:dyDescent="0.2">
      <c r="A26">
        <v>1</v>
      </c>
      <c r="B26" t="s">
        <v>7</v>
      </c>
      <c r="C26" t="s">
        <v>1</v>
      </c>
      <c r="D26">
        <v>74</v>
      </c>
      <c r="E26">
        <v>71</v>
      </c>
      <c r="F26">
        <v>80</v>
      </c>
      <c r="G26">
        <v>225</v>
      </c>
      <c r="H26" s="1">
        <v>75</v>
      </c>
    </row>
    <row r="27" spans="1:8" x14ac:dyDescent="0.2">
      <c r="A27">
        <v>1</v>
      </c>
      <c r="B27" t="s">
        <v>5</v>
      </c>
      <c r="C27" t="s">
        <v>4</v>
      </c>
      <c r="D27">
        <v>73</v>
      </c>
      <c r="E27">
        <v>74</v>
      </c>
      <c r="F27">
        <v>72</v>
      </c>
      <c r="G27">
        <v>219</v>
      </c>
      <c r="H27" s="1">
        <v>73</v>
      </c>
    </row>
    <row r="28" spans="1:8" x14ac:dyDescent="0.2">
      <c r="A28">
        <v>1</v>
      </c>
      <c r="B28" t="s">
        <v>0</v>
      </c>
      <c r="C28" t="s">
        <v>3</v>
      </c>
      <c r="D28">
        <v>69</v>
      </c>
      <c r="E28">
        <v>54</v>
      </c>
      <c r="F28">
        <v>55</v>
      </c>
      <c r="G28">
        <v>178</v>
      </c>
      <c r="H28" s="1">
        <v>59.3333333333333</v>
      </c>
    </row>
    <row r="29" spans="1:8" x14ac:dyDescent="0.2">
      <c r="A29">
        <v>0</v>
      </c>
      <c r="B29" t="s">
        <v>2</v>
      </c>
      <c r="C29" t="s">
        <v>1</v>
      </c>
      <c r="D29">
        <v>67</v>
      </c>
      <c r="E29">
        <v>69</v>
      </c>
      <c r="F29">
        <v>75</v>
      </c>
      <c r="G29">
        <v>211</v>
      </c>
      <c r="H29" s="1">
        <v>70.3333333333333</v>
      </c>
    </row>
    <row r="30" spans="1:8" x14ac:dyDescent="0.2">
      <c r="A30">
        <v>1</v>
      </c>
      <c r="B30" t="s">
        <v>2</v>
      </c>
      <c r="C30" t="s">
        <v>8</v>
      </c>
      <c r="D30">
        <v>70</v>
      </c>
      <c r="E30">
        <v>70</v>
      </c>
      <c r="F30">
        <v>65</v>
      </c>
      <c r="G30">
        <v>205</v>
      </c>
      <c r="H30" s="1">
        <v>68.3333333333333</v>
      </c>
    </row>
    <row r="31" spans="1:8" x14ac:dyDescent="0.2">
      <c r="A31">
        <v>0</v>
      </c>
      <c r="B31" t="s">
        <v>7</v>
      </c>
      <c r="C31" t="s">
        <v>4</v>
      </c>
      <c r="D31">
        <v>62</v>
      </c>
      <c r="E31">
        <v>70</v>
      </c>
      <c r="F31">
        <v>75</v>
      </c>
      <c r="G31">
        <v>207</v>
      </c>
      <c r="H31" s="1">
        <v>69</v>
      </c>
    </row>
    <row r="32" spans="1:8" x14ac:dyDescent="0.2">
      <c r="A32">
        <v>0</v>
      </c>
      <c r="B32" t="s">
        <v>7</v>
      </c>
      <c r="C32" t="s">
        <v>3</v>
      </c>
      <c r="D32">
        <v>69</v>
      </c>
      <c r="E32">
        <v>74</v>
      </c>
      <c r="F32">
        <v>74</v>
      </c>
      <c r="G32">
        <v>217</v>
      </c>
      <c r="H32" s="1">
        <v>72.3333333333333</v>
      </c>
    </row>
    <row r="33" spans="1:13" x14ac:dyDescent="0.2">
      <c r="A33">
        <v>0</v>
      </c>
      <c r="B33" t="s">
        <v>0</v>
      </c>
      <c r="C33" t="s">
        <v>3</v>
      </c>
      <c r="D33">
        <v>63</v>
      </c>
      <c r="E33">
        <v>65</v>
      </c>
      <c r="F33">
        <v>61</v>
      </c>
      <c r="G33">
        <v>189</v>
      </c>
      <c r="H33" s="5">
        <f>SUM(Table14[[#This Row],[Math Score]],Table14[[#This Row],[Reading Score]],Table14[[#This Row],[Writing Score]])/3</f>
        <v>63</v>
      </c>
    </row>
    <row r="34" spans="1:13" x14ac:dyDescent="0.2">
      <c r="A34">
        <v>0</v>
      </c>
      <c r="B34" t="s">
        <v>10</v>
      </c>
      <c r="C34" t="s">
        <v>4</v>
      </c>
      <c r="D34">
        <v>56</v>
      </c>
      <c r="E34">
        <v>72</v>
      </c>
      <c r="F34">
        <v>65</v>
      </c>
      <c r="G34">
        <v>193</v>
      </c>
      <c r="H34" s="1">
        <v>64.3333333333333</v>
      </c>
    </row>
    <row r="35" spans="1:13" x14ac:dyDescent="0.2">
      <c r="A35">
        <v>1</v>
      </c>
      <c r="B35" t="s">
        <v>7</v>
      </c>
      <c r="C35" t="s">
        <v>3</v>
      </c>
      <c r="D35">
        <v>40</v>
      </c>
      <c r="E35">
        <v>42</v>
      </c>
      <c r="F35">
        <v>38</v>
      </c>
      <c r="G35">
        <v>120</v>
      </c>
      <c r="H35" s="1">
        <v>40</v>
      </c>
    </row>
    <row r="36" spans="1:13" x14ac:dyDescent="0.2">
      <c r="A36">
        <v>1</v>
      </c>
      <c r="B36" t="s">
        <v>10</v>
      </c>
      <c r="C36" t="s">
        <v>3</v>
      </c>
      <c r="D36">
        <v>97</v>
      </c>
      <c r="E36">
        <v>87</v>
      </c>
      <c r="F36">
        <v>82</v>
      </c>
      <c r="G36">
        <v>266</v>
      </c>
      <c r="H36" s="1">
        <v>88.6666666666666</v>
      </c>
    </row>
    <row r="37" spans="1:13" x14ac:dyDescent="0.2">
      <c r="A37">
        <v>1</v>
      </c>
      <c r="B37" t="s">
        <v>10</v>
      </c>
      <c r="C37" t="s">
        <v>6</v>
      </c>
      <c r="D37">
        <v>81</v>
      </c>
      <c r="E37">
        <v>81</v>
      </c>
      <c r="F37">
        <v>79</v>
      </c>
      <c r="G37">
        <v>241</v>
      </c>
      <c r="H37" s="1">
        <v>80.3333333333333</v>
      </c>
    </row>
    <row r="38" spans="1:13" x14ac:dyDescent="0.2">
      <c r="A38">
        <v>0</v>
      </c>
      <c r="B38" t="s">
        <v>7</v>
      </c>
      <c r="C38" t="s">
        <v>6</v>
      </c>
      <c r="D38">
        <v>74</v>
      </c>
      <c r="E38">
        <v>81</v>
      </c>
      <c r="F38">
        <v>83</v>
      </c>
      <c r="G38">
        <v>238</v>
      </c>
      <c r="H38" s="1">
        <v>79.3333333333333</v>
      </c>
    </row>
    <row r="39" spans="1:13" x14ac:dyDescent="0.2">
      <c r="A39">
        <v>0</v>
      </c>
      <c r="B39" t="s">
        <v>7</v>
      </c>
      <c r="C39" t="s">
        <v>9</v>
      </c>
      <c r="D39">
        <v>50</v>
      </c>
      <c r="E39">
        <v>64</v>
      </c>
      <c r="F39">
        <v>59</v>
      </c>
      <c r="G39">
        <v>173</v>
      </c>
      <c r="H39" s="1">
        <v>57.6666666666666</v>
      </c>
      <c r="J39" s="2" t="s">
        <v>14</v>
      </c>
      <c r="K39" s="2" t="s">
        <v>21</v>
      </c>
      <c r="L39" t="s">
        <v>22</v>
      </c>
      <c r="M39" t="s">
        <v>23</v>
      </c>
    </row>
    <row r="40" spans="1:13" x14ac:dyDescent="0.2">
      <c r="A40">
        <v>0</v>
      </c>
      <c r="B40" t="s">
        <v>7</v>
      </c>
      <c r="C40" t="s">
        <v>6</v>
      </c>
      <c r="D40">
        <v>75</v>
      </c>
      <c r="E40">
        <v>90</v>
      </c>
      <c r="F40">
        <v>88</v>
      </c>
      <c r="G40">
        <v>253</v>
      </c>
      <c r="H40" s="1">
        <v>84.3333333333333</v>
      </c>
      <c r="J40" s="3" t="s">
        <v>5</v>
      </c>
      <c r="K40" s="1">
        <v>59.176470588235297</v>
      </c>
      <c r="L40" s="1">
        <v>59.941176470588232</v>
      </c>
      <c r="M40" s="1">
        <v>58.882352941176471</v>
      </c>
    </row>
    <row r="41" spans="1:13" x14ac:dyDescent="0.2">
      <c r="A41">
        <v>1</v>
      </c>
      <c r="B41" t="s">
        <v>0</v>
      </c>
      <c r="C41" t="s">
        <v>6</v>
      </c>
      <c r="D41">
        <v>57</v>
      </c>
      <c r="E41">
        <v>56</v>
      </c>
      <c r="F41">
        <v>57</v>
      </c>
      <c r="G41">
        <v>170</v>
      </c>
      <c r="H41" s="1">
        <v>56.6666666666666</v>
      </c>
      <c r="J41" s="3" t="s">
        <v>0</v>
      </c>
      <c r="K41" s="1">
        <v>62.272727272727273</v>
      </c>
      <c r="L41" s="1">
        <v>66.409090909090907</v>
      </c>
      <c r="M41" s="1">
        <v>64.590909090909093</v>
      </c>
    </row>
    <row r="42" spans="1:13" x14ac:dyDescent="0.2">
      <c r="A42">
        <v>1</v>
      </c>
      <c r="B42" t="s">
        <v>2</v>
      </c>
      <c r="C42" t="s">
        <v>6</v>
      </c>
      <c r="D42">
        <v>55</v>
      </c>
      <c r="E42">
        <v>61</v>
      </c>
      <c r="F42">
        <v>54</v>
      </c>
      <c r="G42">
        <v>170</v>
      </c>
      <c r="H42" s="1">
        <v>56.6666666666666</v>
      </c>
      <c r="J42" s="3" t="s">
        <v>2</v>
      </c>
      <c r="K42" s="1">
        <v>62.283333333333331</v>
      </c>
      <c r="L42" s="1">
        <v>67.7</v>
      </c>
      <c r="M42" s="1">
        <v>66.916666666666671</v>
      </c>
    </row>
    <row r="43" spans="1:13" x14ac:dyDescent="0.2">
      <c r="A43">
        <v>0</v>
      </c>
      <c r="B43" t="s">
        <v>2</v>
      </c>
      <c r="C43" t="s">
        <v>6</v>
      </c>
      <c r="D43">
        <v>58</v>
      </c>
      <c r="E43">
        <v>73</v>
      </c>
      <c r="F43">
        <v>68</v>
      </c>
      <c r="G43">
        <v>199</v>
      </c>
      <c r="H43" s="1">
        <v>66.3333333333333</v>
      </c>
      <c r="J43" s="3" t="s">
        <v>7</v>
      </c>
      <c r="K43" s="1">
        <v>66.274509803921575</v>
      </c>
      <c r="L43" s="1">
        <v>69.215686274509807</v>
      </c>
      <c r="M43" s="1">
        <v>68.588235294117652</v>
      </c>
    </row>
    <row r="44" spans="1:13" x14ac:dyDescent="0.2">
      <c r="A44">
        <v>0</v>
      </c>
      <c r="B44" t="s">
        <v>0</v>
      </c>
      <c r="C44" t="s">
        <v>6</v>
      </c>
      <c r="D44">
        <v>53</v>
      </c>
      <c r="E44">
        <v>58</v>
      </c>
      <c r="F44">
        <v>65</v>
      </c>
      <c r="G44">
        <v>176</v>
      </c>
      <c r="H44" s="1">
        <v>58.6666666666666</v>
      </c>
      <c r="J44" s="3" t="s">
        <v>10</v>
      </c>
      <c r="K44" s="1">
        <v>70.962962962962962</v>
      </c>
      <c r="L44" s="1">
        <v>71.296296296296291</v>
      </c>
      <c r="M44" s="1">
        <v>68.555555555555557</v>
      </c>
    </row>
    <row r="45" spans="1:13" x14ac:dyDescent="0.2">
      <c r="A45">
        <v>1</v>
      </c>
      <c r="B45" t="s">
        <v>0</v>
      </c>
      <c r="C45" t="s">
        <v>3</v>
      </c>
      <c r="D45">
        <v>59</v>
      </c>
      <c r="E45">
        <v>65</v>
      </c>
      <c r="F45">
        <v>66</v>
      </c>
      <c r="G45">
        <v>190</v>
      </c>
      <c r="H45" s="5">
        <f>SUM(Table14[[#This Row],[Math Score]],Table14[[#This Row],[Reading Score]],Table14[[#This Row],[Writing Score]])/3</f>
        <v>63.333333333333336</v>
      </c>
      <c r="J45" s="3" t="s">
        <v>11</v>
      </c>
      <c r="K45" s="1">
        <v>64.21608040201005</v>
      </c>
      <c r="L45" s="1">
        <v>67.628140703517587</v>
      </c>
      <c r="M45" s="1">
        <v>66.366834170854275</v>
      </c>
    </row>
    <row r="46" spans="1:13" x14ac:dyDescent="0.2">
      <c r="A46">
        <v>0</v>
      </c>
      <c r="B46" t="s">
        <v>10</v>
      </c>
      <c r="C46" t="s">
        <v>6</v>
      </c>
      <c r="D46">
        <v>50</v>
      </c>
      <c r="E46">
        <v>56</v>
      </c>
      <c r="F46">
        <v>54</v>
      </c>
      <c r="G46">
        <v>160</v>
      </c>
      <c r="H46" s="1">
        <v>53.3333333333333</v>
      </c>
    </row>
    <row r="47" spans="1:13" x14ac:dyDescent="0.2">
      <c r="A47">
        <v>1</v>
      </c>
      <c r="B47" t="s">
        <v>0</v>
      </c>
      <c r="C47" t="s">
        <v>6</v>
      </c>
      <c r="D47">
        <v>65</v>
      </c>
      <c r="E47">
        <v>54</v>
      </c>
      <c r="F47">
        <v>57</v>
      </c>
      <c r="G47">
        <v>176</v>
      </c>
      <c r="H47" s="1">
        <v>58.6666666666666</v>
      </c>
    </row>
    <row r="48" spans="1:13" x14ac:dyDescent="0.2">
      <c r="A48">
        <v>0</v>
      </c>
      <c r="B48" t="s">
        <v>5</v>
      </c>
      <c r="C48" t="s">
        <v>6</v>
      </c>
      <c r="D48">
        <v>55</v>
      </c>
      <c r="E48">
        <v>65</v>
      </c>
      <c r="F48">
        <v>62</v>
      </c>
      <c r="G48">
        <v>182</v>
      </c>
      <c r="H48" s="1">
        <v>60.6666666666666</v>
      </c>
    </row>
    <row r="49" spans="1:8" x14ac:dyDescent="0.2">
      <c r="A49">
        <v>0</v>
      </c>
      <c r="B49" t="s">
        <v>2</v>
      </c>
      <c r="C49" t="s">
        <v>8</v>
      </c>
      <c r="D49">
        <v>66</v>
      </c>
      <c r="E49">
        <v>71</v>
      </c>
      <c r="F49">
        <v>76</v>
      </c>
      <c r="G49">
        <v>213</v>
      </c>
      <c r="H49" s="1">
        <v>71</v>
      </c>
    </row>
    <row r="50" spans="1:8" x14ac:dyDescent="0.2">
      <c r="A50">
        <v>0</v>
      </c>
      <c r="B50" t="s">
        <v>7</v>
      </c>
      <c r="C50" t="s">
        <v>6</v>
      </c>
      <c r="D50">
        <v>57</v>
      </c>
      <c r="E50">
        <v>74</v>
      </c>
      <c r="F50">
        <v>76</v>
      </c>
      <c r="G50">
        <v>207</v>
      </c>
      <c r="H50" s="1">
        <v>69</v>
      </c>
    </row>
    <row r="51" spans="1:8" x14ac:dyDescent="0.2">
      <c r="A51">
        <v>1</v>
      </c>
      <c r="B51" t="s">
        <v>2</v>
      </c>
      <c r="C51" t="s">
        <v>8</v>
      </c>
      <c r="D51">
        <v>82</v>
      </c>
      <c r="E51">
        <v>84</v>
      </c>
      <c r="F51">
        <v>82</v>
      </c>
      <c r="G51">
        <v>248</v>
      </c>
      <c r="H51" s="1">
        <v>82.6666666666666</v>
      </c>
    </row>
    <row r="52" spans="1:8" x14ac:dyDescent="0.2">
      <c r="A52">
        <v>1</v>
      </c>
      <c r="B52" t="s">
        <v>10</v>
      </c>
      <c r="C52" t="s">
        <v>3</v>
      </c>
      <c r="D52">
        <v>53</v>
      </c>
      <c r="E52">
        <v>55</v>
      </c>
      <c r="F52">
        <v>48</v>
      </c>
      <c r="G52">
        <v>156</v>
      </c>
      <c r="H52" s="1">
        <v>52</v>
      </c>
    </row>
    <row r="53" spans="1:8" x14ac:dyDescent="0.2">
      <c r="A53">
        <v>1</v>
      </c>
      <c r="B53" t="s">
        <v>10</v>
      </c>
      <c r="C53" t="s">
        <v>6</v>
      </c>
      <c r="D53">
        <v>77</v>
      </c>
      <c r="E53">
        <v>69</v>
      </c>
      <c r="F53">
        <v>68</v>
      </c>
      <c r="G53">
        <v>214</v>
      </c>
      <c r="H53" s="1">
        <v>71.3333333333333</v>
      </c>
    </row>
    <row r="54" spans="1:8" x14ac:dyDescent="0.2">
      <c r="A54">
        <v>1</v>
      </c>
      <c r="B54" t="s">
        <v>2</v>
      </c>
      <c r="C54" t="s">
        <v>3</v>
      </c>
      <c r="D54">
        <v>53</v>
      </c>
      <c r="E54">
        <v>44</v>
      </c>
      <c r="F54">
        <v>42</v>
      </c>
      <c r="G54">
        <v>139</v>
      </c>
      <c r="H54" s="1">
        <v>46.3333333333333</v>
      </c>
    </row>
    <row r="55" spans="1:8" x14ac:dyDescent="0.2">
      <c r="A55">
        <v>1</v>
      </c>
      <c r="B55" t="s">
        <v>7</v>
      </c>
      <c r="C55" t="s">
        <v>8</v>
      </c>
      <c r="D55">
        <v>88</v>
      </c>
      <c r="E55">
        <v>78</v>
      </c>
      <c r="F55">
        <v>75</v>
      </c>
      <c r="G55">
        <v>241</v>
      </c>
      <c r="H55" s="1">
        <v>80.3333333333333</v>
      </c>
    </row>
    <row r="56" spans="1:8" x14ac:dyDescent="0.2">
      <c r="A56">
        <v>0</v>
      </c>
      <c r="B56" t="s">
        <v>2</v>
      </c>
      <c r="C56" t="s">
        <v>9</v>
      </c>
      <c r="D56">
        <v>71</v>
      </c>
      <c r="E56">
        <v>84</v>
      </c>
      <c r="F56">
        <v>87</v>
      </c>
      <c r="G56">
        <v>242</v>
      </c>
      <c r="H56" s="1">
        <v>80.6666666666666</v>
      </c>
    </row>
    <row r="57" spans="1:8" x14ac:dyDescent="0.2">
      <c r="A57">
        <v>0</v>
      </c>
      <c r="B57" t="s">
        <v>2</v>
      </c>
      <c r="C57" t="s">
        <v>8</v>
      </c>
      <c r="D57">
        <v>33</v>
      </c>
      <c r="E57">
        <v>41</v>
      </c>
      <c r="F57">
        <v>43</v>
      </c>
      <c r="G57">
        <v>117</v>
      </c>
      <c r="H57" s="1">
        <v>39</v>
      </c>
    </row>
    <row r="58" spans="1:8" x14ac:dyDescent="0.2">
      <c r="A58">
        <v>0</v>
      </c>
      <c r="B58" t="s">
        <v>10</v>
      </c>
      <c r="C58" t="s">
        <v>6</v>
      </c>
      <c r="D58">
        <v>82</v>
      </c>
      <c r="E58">
        <v>85</v>
      </c>
      <c r="F58">
        <v>86</v>
      </c>
      <c r="G58">
        <v>253</v>
      </c>
      <c r="H58" s="1">
        <v>84.3333333333333</v>
      </c>
    </row>
    <row r="59" spans="1:8" x14ac:dyDescent="0.2">
      <c r="A59">
        <v>1</v>
      </c>
      <c r="B59" t="s">
        <v>7</v>
      </c>
      <c r="C59" t="s">
        <v>6</v>
      </c>
      <c r="D59">
        <v>52</v>
      </c>
      <c r="E59">
        <v>55</v>
      </c>
      <c r="F59">
        <v>49</v>
      </c>
      <c r="G59">
        <v>156</v>
      </c>
      <c r="H59" s="1">
        <v>52</v>
      </c>
    </row>
    <row r="60" spans="1:8" x14ac:dyDescent="0.2">
      <c r="A60">
        <v>1</v>
      </c>
      <c r="B60" t="s">
        <v>7</v>
      </c>
      <c r="C60" t="s">
        <v>3</v>
      </c>
      <c r="D60">
        <v>58</v>
      </c>
      <c r="E60">
        <v>59</v>
      </c>
      <c r="F60">
        <v>58</v>
      </c>
      <c r="G60">
        <v>175</v>
      </c>
      <c r="H60" s="1">
        <v>58.3333333333333</v>
      </c>
    </row>
    <row r="61" spans="1:8" x14ac:dyDescent="0.2">
      <c r="A61">
        <v>0</v>
      </c>
      <c r="B61" t="s">
        <v>2</v>
      </c>
      <c r="C61" t="s">
        <v>9</v>
      </c>
      <c r="D61">
        <v>0</v>
      </c>
      <c r="E61">
        <v>17</v>
      </c>
      <c r="F61">
        <v>10</v>
      </c>
      <c r="G61">
        <v>27</v>
      </c>
      <c r="H61" s="1">
        <f>SUM(Table14[[#This Row],[Math Score]],Table14[[#This Row],[Reading Score]],Table14[[#This Row],[Writing Score]])/3</f>
        <v>9</v>
      </c>
    </row>
    <row r="62" spans="1:8" x14ac:dyDescent="0.2">
      <c r="A62">
        <v>1</v>
      </c>
      <c r="B62" t="s">
        <v>10</v>
      </c>
      <c r="C62" t="s">
        <v>1</v>
      </c>
      <c r="D62">
        <v>79</v>
      </c>
      <c r="E62">
        <v>74</v>
      </c>
      <c r="F62">
        <v>72</v>
      </c>
      <c r="G62">
        <v>225</v>
      </c>
      <c r="H62" s="1">
        <v>75</v>
      </c>
    </row>
    <row r="63" spans="1:8" x14ac:dyDescent="0.2">
      <c r="A63">
        <v>1</v>
      </c>
      <c r="B63" t="s">
        <v>5</v>
      </c>
      <c r="C63" s="4" t="s">
        <v>6</v>
      </c>
      <c r="D63">
        <v>39</v>
      </c>
      <c r="E63">
        <v>39</v>
      </c>
      <c r="F63">
        <v>34</v>
      </c>
      <c r="G63">
        <v>112</v>
      </c>
      <c r="H63" s="1">
        <v>37.3333333333333</v>
      </c>
    </row>
    <row r="64" spans="1:8" x14ac:dyDescent="0.2">
      <c r="A64">
        <v>1</v>
      </c>
      <c r="B64" t="s">
        <v>5</v>
      </c>
      <c r="C64" t="s">
        <v>6</v>
      </c>
      <c r="D64">
        <v>62</v>
      </c>
      <c r="E64">
        <v>61</v>
      </c>
      <c r="F64">
        <v>55</v>
      </c>
      <c r="G64">
        <v>178</v>
      </c>
      <c r="H64" s="1">
        <v>59.3333333333333</v>
      </c>
    </row>
    <row r="65" spans="1:8" x14ac:dyDescent="0.2">
      <c r="A65">
        <v>0</v>
      </c>
      <c r="B65" t="s">
        <v>2</v>
      </c>
      <c r="C65" t="s">
        <v>6</v>
      </c>
      <c r="D65">
        <v>69</v>
      </c>
      <c r="E65">
        <v>80</v>
      </c>
      <c r="F65">
        <v>71</v>
      </c>
      <c r="G65">
        <v>220</v>
      </c>
      <c r="H65" s="1">
        <v>73.3333333333333</v>
      </c>
    </row>
    <row r="66" spans="1:8" x14ac:dyDescent="0.2">
      <c r="A66">
        <v>0</v>
      </c>
      <c r="B66" t="s">
        <v>7</v>
      </c>
      <c r="C66" t="s">
        <v>9</v>
      </c>
      <c r="D66">
        <v>59</v>
      </c>
      <c r="E66">
        <v>58</v>
      </c>
      <c r="F66">
        <v>59</v>
      </c>
      <c r="G66">
        <v>176</v>
      </c>
      <c r="H66" s="1">
        <v>58.6666666666666</v>
      </c>
    </row>
    <row r="67" spans="1:8" x14ac:dyDescent="0.2">
      <c r="A67">
        <v>1</v>
      </c>
      <c r="B67" t="s">
        <v>0</v>
      </c>
      <c r="C67" t="s">
        <v>9</v>
      </c>
      <c r="D67">
        <v>67</v>
      </c>
      <c r="E67">
        <v>64</v>
      </c>
      <c r="F67">
        <v>61</v>
      </c>
      <c r="G67">
        <v>192</v>
      </c>
      <c r="H67" s="1">
        <v>64</v>
      </c>
    </row>
    <row r="68" spans="1:8" x14ac:dyDescent="0.2">
      <c r="A68">
        <v>1</v>
      </c>
      <c r="B68" t="s">
        <v>7</v>
      </c>
      <c r="C68" t="s">
        <v>9</v>
      </c>
      <c r="D68">
        <v>45</v>
      </c>
      <c r="E68">
        <v>37</v>
      </c>
      <c r="F68">
        <v>37</v>
      </c>
      <c r="G68">
        <v>119</v>
      </c>
      <c r="H68" s="1">
        <v>39.6666666666666</v>
      </c>
    </row>
    <row r="69" spans="1:8" x14ac:dyDescent="0.2">
      <c r="A69">
        <v>0</v>
      </c>
      <c r="B69" t="s">
        <v>2</v>
      </c>
      <c r="C69" t="s">
        <v>3</v>
      </c>
      <c r="D69">
        <v>60</v>
      </c>
      <c r="E69">
        <v>72</v>
      </c>
      <c r="F69">
        <v>74</v>
      </c>
      <c r="G69">
        <v>206</v>
      </c>
      <c r="H69" s="1">
        <v>68.6666666666666</v>
      </c>
    </row>
    <row r="70" spans="1:8" x14ac:dyDescent="0.2">
      <c r="A70">
        <v>1</v>
      </c>
      <c r="B70" t="s">
        <v>0</v>
      </c>
      <c r="C70" t="s">
        <v>6</v>
      </c>
      <c r="D70">
        <v>61</v>
      </c>
      <c r="E70">
        <v>58</v>
      </c>
      <c r="F70">
        <v>56</v>
      </c>
      <c r="G70">
        <v>175</v>
      </c>
      <c r="H70" s="1">
        <v>58.3333333333333</v>
      </c>
    </row>
    <row r="71" spans="1:8" x14ac:dyDescent="0.2">
      <c r="A71">
        <v>0</v>
      </c>
      <c r="B71" t="s">
        <v>2</v>
      </c>
      <c r="C71" t="s">
        <v>6</v>
      </c>
      <c r="D71">
        <v>39</v>
      </c>
      <c r="E71">
        <v>64</v>
      </c>
      <c r="F71">
        <v>57</v>
      </c>
      <c r="G71">
        <v>160</v>
      </c>
      <c r="H71" s="1">
        <v>53.3333333333333</v>
      </c>
    </row>
    <row r="72" spans="1:8" x14ac:dyDescent="0.2">
      <c r="A72">
        <v>0</v>
      </c>
      <c r="B72" t="s">
        <v>7</v>
      </c>
      <c r="C72" s="4" t="s">
        <v>6</v>
      </c>
      <c r="D72">
        <v>58</v>
      </c>
      <c r="E72">
        <v>63</v>
      </c>
      <c r="F72">
        <v>73</v>
      </c>
      <c r="G72">
        <v>194</v>
      </c>
      <c r="H72" s="1">
        <v>64.6666666666666</v>
      </c>
    </row>
    <row r="73" spans="1:8" x14ac:dyDescent="0.2">
      <c r="A73">
        <v>1</v>
      </c>
      <c r="B73" t="s">
        <v>7</v>
      </c>
      <c r="C73" t="s">
        <v>3</v>
      </c>
      <c r="D73">
        <v>63</v>
      </c>
      <c r="E73">
        <v>55</v>
      </c>
      <c r="F73">
        <v>63</v>
      </c>
      <c r="G73">
        <v>181</v>
      </c>
      <c r="H73" s="1">
        <v>60.3333333333333</v>
      </c>
    </row>
    <row r="74" spans="1:8" x14ac:dyDescent="0.2">
      <c r="A74">
        <v>0</v>
      </c>
      <c r="B74" t="s">
        <v>5</v>
      </c>
      <c r="C74" t="s">
        <v>6</v>
      </c>
      <c r="D74">
        <v>41</v>
      </c>
      <c r="E74">
        <v>51</v>
      </c>
      <c r="F74">
        <v>48</v>
      </c>
      <c r="G74">
        <v>140</v>
      </c>
      <c r="H74" s="1">
        <v>46.6666666666666</v>
      </c>
    </row>
    <row r="75" spans="1:8" x14ac:dyDescent="0.2">
      <c r="A75">
        <v>1</v>
      </c>
      <c r="B75" t="s">
        <v>2</v>
      </c>
      <c r="C75" t="s">
        <v>9</v>
      </c>
      <c r="D75">
        <v>61</v>
      </c>
      <c r="E75">
        <v>57</v>
      </c>
      <c r="F75">
        <v>56</v>
      </c>
      <c r="G75">
        <v>174</v>
      </c>
      <c r="H75" s="1">
        <v>58</v>
      </c>
    </row>
    <row r="76" spans="1:8" x14ac:dyDescent="0.2">
      <c r="A76">
        <v>1</v>
      </c>
      <c r="B76" t="s">
        <v>2</v>
      </c>
      <c r="C76" t="s">
        <v>9</v>
      </c>
      <c r="D76">
        <v>49</v>
      </c>
      <c r="E76">
        <v>49</v>
      </c>
      <c r="F76">
        <v>41</v>
      </c>
      <c r="G76">
        <v>139</v>
      </c>
      <c r="H76" s="1">
        <v>46.3333333333333</v>
      </c>
    </row>
    <row r="77" spans="1:8" x14ac:dyDescent="0.2">
      <c r="A77">
        <v>1</v>
      </c>
      <c r="B77" t="s">
        <v>0</v>
      </c>
      <c r="C77" t="s">
        <v>6</v>
      </c>
      <c r="D77">
        <v>44</v>
      </c>
      <c r="E77">
        <v>41</v>
      </c>
      <c r="F77">
        <v>38</v>
      </c>
      <c r="G77">
        <v>123</v>
      </c>
      <c r="H77" s="1">
        <v>41</v>
      </c>
    </row>
    <row r="78" spans="1:8" x14ac:dyDescent="0.2">
      <c r="A78">
        <v>1</v>
      </c>
      <c r="B78" t="s">
        <v>10</v>
      </c>
      <c r="C78" t="s">
        <v>9</v>
      </c>
      <c r="D78">
        <v>30</v>
      </c>
      <c r="E78">
        <v>26</v>
      </c>
      <c r="F78">
        <v>22</v>
      </c>
      <c r="G78">
        <v>78</v>
      </c>
      <c r="H78" s="1">
        <f>SUM(Table14[[#This Row],[Math Score]],Table14[[#This Row],[Reading Score]],Table14[[#This Row],[Writing Score]])/3</f>
        <v>26</v>
      </c>
    </row>
    <row r="79" spans="1:8" x14ac:dyDescent="0.2">
      <c r="A79">
        <v>1</v>
      </c>
      <c r="B79" t="s">
        <v>5</v>
      </c>
      <c r="C79" t="s">
        <v>1</v>
      </c>
      <c r="D79">
        <v>80</v>
      </c>
      <c r="E79">
        <v>78</v>
      </c>
      <c r="F79">
        <v>81</v>
      </c>
      <c r="G79">
        <v>239</v>
      </c>
      <c r="H79" s="1">
        <v>79.6666666666666</v>
      </c>
    </row>
    <row r="80" spans="1:8" x14ac:dyDescent="0.2">
      <c r="A80">
        <v>0</v>
      </c>
      <c r="B80" t="s">
        <v>7</v>
      </c>
      <c r="C80" t="s">
        <v>9</v>
      </c>
      <c r="D80">
        <v>61</v>
      </c>
      <c r="E80">
        <v>74</v>
      </c>
      <c r="F80">
        <v>72</v>
      </c>
      <c r="G80">
        <v>207</v>
      </c>
      <c r="H80" s="1">
        <v>69</v>
      </c>
    </row>
    <row r="81" spans="1:8" x14ac:dyDescent="0.2">
      <c r="A81">
        <v>0</v>
      </c>
      <c r="B81" t="s">
        <v>10</v>
      </c>
      <c r="C81" t="s">
        <v>4</v>
      </c>
      <c r="D81">
        <v>62</v>
      </c>
      <c r="E81">
        <v>68</v>
      </c>
      <c r="F81">
        <v>68</v>
      </c>
      <c r="G81">
        <v>198</v>
      </c>
      <c r="H81" s="1">
        <v>66</v>
      </c>
    </row>
    <row r="82" spans="1:8" x14ac:dyDescent="0.2">
      <c r="A82">
        <v>0</v>
      </c>
      <c r="B82" t="s">
        <v>0</v>
      </c>
      <c r="C82" t="s">
        <v>6</v>
      </c>
      <c r="D82">
        <v>47</v>
      </c>
      <c r="E82">
        <v>49</v>
      </c>
      <c r="F82">
        <v>50</v>
      </c>
      <c r="G82">
        <v>146</v>
      </c>
      <c r="H82" s="1">
        <v>48.6666666666666</v>
      </c>
    </row>
    <row r="83" spans="1:8" x14ac:dyDescent="0.2">
      <c r="A83">
        <v>1</v>
      </c>
      <c r="B83" t="s">
        <v>0</v>
      </c>
      <c r="C83" t="s">
        <v>8</v>
      </c>
      <c r="D83">
        <v>49</v>
      </c>
      <c r="E83">
        <v>45</v>
      </c>
      <c r="F83">
        <v>45</v>
      </c>
      <c r="G83">
        <v>139</v>
      </c>
      <c r="H83" s="1">
        <v>46.3333333333333</v>
      </c>
    </row>
    <row r="84" spans="1:8" x14ac:dyDescent="0.2">
      <c r="A84">
        <v>1</v>
      </c>
      <c r="B84" t="s">
        <v>5</v>
      </c>
      <c r="C84" t="s">
        <v>3</v>
      </c>
      <c r="D84">
        <v>50</v>
      </c>
      <c r="E84">
        <v>47</v>
      </c>
      <c r="F84">
        <v>54</v>
      </c>
      <c r="G84">
        <v>151</v>
      </c>
      <c r="H84" s="1">
        <v>50.3333333333333</v>
      </c>
    </row>
    <row r="85" spans="1:8" x14ac:dyDescent="0.2">
      <c r="A85">
        <v>1</v>
      </c>
      <c r="B85" t="s">
        <v>10</v>
      </c>
      <c r="C85" t="s">
        <v>6</v>
      </c>
      <c r="D85">
        <v>72</v>
      </c>
      <c r="E85">
        <v>64</v>
      </c>
      <c r="F85">
        <v>63</v>
      </c>
      <c r="G85">
        <v>199</v>
      </c>
      <c r="H85" s="1">
        <v>66.3333333333333</v>
      </c>
    </row>
    <row r="86" spans="1:8" x14ac:dyDescent="0.2">
      <c r="A86">
        <v>1</v>
      </c>
      <c r="B86" t="s">
        <v>7</v>
      </c>
      <c r="C86" t="s">
        <v>8</v>
      </c>
      <c r="D86">
        <v>42</v>
      </c>
      <c r="E86">
        <v>39</v>
      </c>
      <c r="F86">
        <v>34</v>
      </c>
      <c r="G86">
        <v>115</v>
      </c>
      <c r="H86" s="1">
        <v>38.3333333333333</v>
      </c>
    </row>
    <row r="87" spans="1:8" x14ac:dyDescent="0.2">
      <c r="A87">
        <v>0</v>
      </c>
      <c r="B87" t="s">
        <v>2</v>
      </c>
      <c r="C87" t="s">
        <v>3</v>
      </c>
      <c r="D87">
        <v>73</v>
      </c>
      <c r="E87">
        <v>80</v>
      </c>
      <c r="F87">
        <v>82</v>
      </c>
      <c r="G87">
        <v>235</v>
      </c>
      <c r="H87" s="1">
        <v>78.3333333333333</v>
      </c>
    </row>
    <row r="88" spans="1:8" x14ac:dyDescent="0.2">
      <c r="A88">
        <v>0</v>
      </c>
      <c r="B88" t="s">
        <v>2</v>
      </c>
      <c r="C88" t="s">
        <v>3</v>
      </c>
      <c r="D88">
        <v>76</v>
      </c>
      <c r="E88">
        <v>83</v>
      </c>
      <c r="F88">
        <v>88</v>
      </c>
      <c r="G88">
        <v>247</v>
      </c>
      <c r="H88" s="1">
        <v>82.3333333333333</v>
      </c>
    </row>
    <row r="89" spans="1:8" x14ac:dyDescent="0.2">
      <c r="A89">
        <v>0</v>
      </c>
      <c r="B89" t="s">
        <v>7</v>
      </c>
      <c r="C89" t="s">
        <v>6</v>
      </c>
      <c r="D89">
        <v>71</v>
      </c>
      <c r="E89">
        <v>71</v>
      </c>
      <c r="F89">
        <v>74</v>
      </c>
      <c r="G89">
        <v>216</v>
      </c>
      <c r="H89" s="1">
        <v>72</v>
      </c>
    </row>
    <row r="90" spans="1:8" x14ac:dyDescent="0.2">
      <c r="A90">
        <v>0</v>
      </c>
      <c r="B90" t="s">
        <v>5</v>
      </c>
      <c r="C90" t="s">
        <v>3</v>
      </c>
      <c r="D90">
        <v>58</v>
      </c>
      <c r="E90">
        <v>70</v>
      </c>
      <c r="F90">
        <v>67</v>
      </c>
      <c r="G90">
        <v>195</v>
      </c>
      <c r="H90" s="1">
        <v>65</v>
      </c>
    </row>
    <row r="91" spans="1:8" x14ac:dyDescent="0.2">
      <c r="A91">
        <v>0</v>
      </c>
      <c r="B91" t="s">
        <v>7</v>
      </c>
      <c r="C91" t="s">
        <v>9</v>
      </c>
      <c r="D91">
        <v>73</v>
      </c>
      <c r="E91">
        <v>86</v>
      </c>
      <c r="F91">
        <v>82</v>
      </c>
      <c r="G91">
        <v>241</v>
      </c>
      <c r="H91" s="1">
        <v>80.3333333333333</v>
      </c>
    </row>
    <row r="92" spans="1:8" x14ac:dyDescent="0.2">
      <c r="A92">
        <v>0</v>
      </c>
      <c r="B92" t="s">
        <v>2</v>
      </c>
      <c r="C92" t="s">
        <v>1</v>
      </c>
      <c r="D92">
        <v>65</v>
      </c>
      <c r="E92">
        <v>72</v>
      </c>
      <c r="F92">
        <v>74</v>
      </c>
      <c r="G92">
        <v>211</v>
      </c>
      <c r="H92" s="1">
        <v>70.3333333333333</v>
      </c>
    </row>
    <row r="93" spans="1:8" x14ac:dyDescent="0.2">
      <c r="A93">
        <v>1</v>
      </c>
      <c r="B93" t="s">
        <v>2</v>
      </c>
      <c r="C93" t="s">
        <v>8</v>
      </c>
      <c r="D93">
        <v>27</v>
      </c>
      <c r="E93">
        <v>34</v>
      </c>
      <c r="F93">
        <v>36</v>
      </c>
      <c r="G93">
        <v>97</v>
      </c>
      <c r="H93" s="1">
        <f>SUM(Table14[[#This Row],[Math Score]],Table14[[#This Row],[Reading Score]],Table14[[#This Row],[Writing Score]])/3</f>
        <v>32.333333333333336</v>
      </c>
    </row>
    <row r="94" spans="1:8" x14ac:dyDescent="0.2">
      <c r="A94">
        <v>1</v>
      </c>
      <c r="B94" t="s">
        <v>2</v>
      </c>
      <c r="C94" t="s">
        <v>8</v>
      </c>
      <c r="D94">
        <v>71</v>
      </c>
      <c r="E94">
        <v>79</v>
      </c>
      <c r="F94">
        <v>71</v>
      </c>
      <c r="G94">
        <v>221</v>
      </c>
      <c r="H94" s="1">
        <v>73.6666666666666</v>
      </c>
    </row>
    <row r="95" spans="1:8" x14ac:dyDescent="0.2">
      <c r="A95">
        <v>1</v>
      </c>
      <c r="B95" t="s">
        <v>2</v>
      </c>
      <c r="C95" t="s">
        <v>6</v>
      </c>
      <c r="D95">
        <v>43</v>
      </c>
      <c r="E95">
        <v>45</v>
      </c>
      <c r="F95">
        <v>50</v>
      </c>
      <c r="G95">
        <v>138</v>
      </c>
      <c r="H95" s="1">
        <v>46</v>
      </c>
    </row>
    <row r="96" spans="1:8" x14ac:dyDescent="0.2">
      <c r="A96">
        <v>0</v>
      </c>
      <c r="B96" t="s">
        <v>0</v>
      </c>
      <c r="C96" t="s">
        <v>3</v>
      </c>
      <c r="D96">
        <v>79</v>
      </c>
      <c r="E96">
        <v>86</v>
      </c>
      <c r="F96">
        <v>92</v>
      </c>
      <c r="G96">
        <v>257</v>
      </c>
      <c r="H96" s="1">
        <v>85.6666666666666</v>
      </c>
    </row>
    <row r="97" spans="1:8" x14ac:dyDescent="0.2">
      <c r="A97">
        <v>1</v>
      </c>
      <c r="B97" t="s">
        <v>2</v>
      </c>
      <c r="C97" t="s">
        <v>6</v>
      </c>
      <c r="D97">
        <v>78</v>
      </c>
      <c r="E97">
        <v>81</v>
      </c>
      <c r="F97">
        <v>82</v>
      </c>
      <c r="G97">
        <v>241</v>
      </c>
      <c r="H97" s="1">
        <v>80.3333333333333</v>
      </c>
    </row>
    <row r="98" spans="1:8" x14ac:dyDescent="0.2">
      <c r="A98">
        <v>1</v>
      </c>
      <c r="B98" t="s">
        <v>0</v>
      </c>
      <c r="C98" t="s">
        <v>9</v>
      </c>
      <c r="D98">
        <v>65</v>
      </c>
      <c r="E98">
        <v>66</v>
      </c>
      <c r="F98">
        <v>62</v>
      </c>
      <c r="G98">
        <v>193</v>
      </c>
      <c r="H98" s="1">
        <v>64.3333333333333</v>
      </c>
    </row>
    <row r="99" spans="1:8" x14ac:dyDescent="0.2">
      <c r="A99">
        <v>0</v>
      </c>
      <c r="B99" t="s">
        <v>10</v>
      </c>
      <c r="C99" t="s">
        <v>3</v>
      </c>
      <c r="D99">
        <v>63</v>
      </c>
      <c r="E99">
        <v>72</v>
      </c>
      <c r="F99">
        <v>70</v>
      </c>
      <c r="G99">
        <v>205</v>
      </c>
      <c r="H99" s="1">
        <v>68.3333333333333</v>
      </c>
    </row>
    <row r="100" spans="1:8" x14ac:dyDescent="0.2">
      <c r="A100">
        <v>0</v>
      </c>
      <c r="B100" t="s">
        <v>7</v>
      </c>
      <c r="C100" t="s">
        <v>3</v>
      </c>
      <c r="D100">
        <v>58</v>
      </c>
      <c r="E100">
        <v>67</v>
      </c>
      <c r="F100">
        <v>62</v>
      </c>
      <c r="G100">
        <v>187</v>
      </c>
      <c r="H100" s="1">
        <v>62.3333333333333</v>
      </c>
    </row>
    <row r="101" spans="1:8" x14ac:dyDescent="0.2">
      <c r="A101">
        <v>0</v>
      </c>
      <c r="B101" t="s">
        <v>7</v>
      </c>
      <c r="C101" t="s">
        <v>1</v>
      </c>
      <c r="D101">
        <v>65</v>
      </c>
      <c r="E101">
        <v>67</v>
      </c>
      <c r="F101">
        <v>62</v>
      </c>
      <c r="G101">
        <v>194</v>
      </c>
      <c r="H101" s="1">
        <v>64.6666666666666</v>
      </c>
    </row>
    <row r="102" spans="1:8" x14ac:dyDescent="0.2">
      <c r="A102">
        <v>1</v>
      </c>
      <c r="B102" t="s">
        <v>0</v>
      </c>
      <c r="C102" t="s">
        <v>3</v>
      </c>
      <c r="D102">
        <v>79</v>
      </c>
      <c r="E102">
        <v>67</v>
      </c>
      <c r="F102">
        <v>67</v>
      </c>
      <c r="G102">
        <v>213</v>
      </c>
      <c r="H102" s="1">
        <v>71</v>
      </c>
    </row>
    <row r="103" spans="1:8" x14ac:dyDescent="0.2">
      <c r="A103">
        <v>1</v>
      </c>
      <c r="B103" t="s">
        <v>7</v>
      </c>
      <c r="C103" t="s">
        <v>1</v>
      </c>
      <c r="D103">
        <v>68</v>
      </c>
      <c r="E103">
        <v>74</v>
      </c>
      <c r="F103">
        <v>74</v>
      </c>
      <c r="G103">
        <v>216</v>
      </c>
      <c r="H103" s="1">
        <v>72</v>
      </c>
    </row>
    <row r="104" spans="1:8" x14ac:dyDescent="0.2">
      <c r="A104">
        <v>0</v>
      </c>
      <c r="B104" t="s">
        <v>7</v>
      </c>
      <c r="C104" t="s">
        <v>6</v>
      </c>
      <c r="D104">
        <v>85</v>
      </c>
      <c r="E104">
        <v>91</v>
      </c>
      <c r="F104">
        <v>89</v>
      </c>
      <c r="G104">
        <v>265</v>
      </c>
      <c r="H104" s="1">
        <v>88.3333333333333</v>
      </c>
    </row>
    <row r="105" spans="1:8" x14ac:dyDescent="0.2">
      <c r="A105">
        <v>1</v>
      </c>
      <c r="B105" t="s">
        <v>0</v>
      </c>
      <c r="C105" t="s">
        <v>8</v>
      </c>
      <c r="D105">
        <v>60</v>
      </c>
      <c r="E105">
        <v>44</v>
      </c>
      <c r="F105">
        <v>47</v>
      </c>
      <c r="G105">
        <v>151</v>
      </c>
      <c r="H105" s="1">
        <v>50.3333333333333</v>
      </c>
    </row>
    <row r="106" spans="1:8" x14ac:dyDescent="0.2">
      <c r="A106">
        <v>1</v>
      </c>
      <c r="B106" t="s">
        <v>2</v>
      </c>
      <c r="C106" t="s">
        <v>3</v>
      </c>
      <c r="D106">
        <v>98</v>
      </c>
      <c r="E106">
        <v>86</v>
      </c>
      <c r="F106">
        <v>90</v>
      </c>
      <c r="G106">
        <v>274</v>
      </c>
      <c r="H106" s="1">
        <v>91.3333333333333</v>
      </c>
    </row>
    <row r="107" spans="1:8" x14ac:dyDescent="0.2">
      <c r="A107">
        <v>0</v>
      </c>
      <c r="B107" t="s">
        <v>2</v>
      </c>
      <c r="C107" t="s">
        <v>3</v>
      </c>
      <c r="D107">
        <v>58</v>
      </c>
      <c r="E107">
        <v>67</v>
      </c>
      <c r="F107">
        <v>72</v>
      </c>
      <c r="G107">
        <v>197</v>
      </c>
      <c r="H107" s="1">
        <v>65.6666666666666</v>
      </c>
    </row>
    <row r="108" spans="1:8" x14ac:dyDescent="0.2">
      <c r="A108">
        <v>0</v>
      </c>
      <c r="B108" t="s">
        <v>7</v>
      </c>
      <c r="C108" t="s">
        <v>4</v>
      </c>
      <c r="D108">
        <v>87</v>
      </c>
      <c r="E108">
        <v>100</v>
      </c>
      <c r="F108">
        <v>100</v>
      </c>
      <c r="G108">
        <v>287</v>
      </c>
      <c r="H108" s="1">
        <v>95.6666666666666</v>
      </c>
    </row>
    <row r="109" spans="1:8" x14ac:dyDescent="0.2">
      <c r="A109">
        <v>1</v>
      </c>
      <c r="B109" t="s">
        <v>10</v>
      </c>
      <c r="C109" t="s">
        <v>6</v>
      </c>
      <c r="D109">
        <v>66</v>
      </c>
      <c r="E109">
        <v>63</v>
      </c>
      <c r="F109">
        <v>64</v>
      </c>
      <c r="G109">
        <v>193</v>
      </c>
      <c r="H109" s="5">
        <f>SUM(Table14[[#This Row],[Math Score]],Table14[[#This Row],[Reading Score]],Table14[[#This Row],[Writing Score]])/3</f>
        <v>64.333333333333329</v>
      </c>
    </row>
    <row r="110" spans="1:8" x14ac:dyDescent="0.2">
      <c r="A110">
        <v>0</v>
      </c>
      <c r="B110" t="s">
        <v>0</v>
      </c>
      <c r="C110" t="s">
        <v>6</v>
      </c>
      <c r="D110">
        <v>52</v>
      </c>
      <c r="E110">
        <v>76</v>
      </c>
      <c r="F110">
        <v>70</v>
      </c>
      <c r="G110">
        <v>198</v>
      </c>
      <c r="H110" s="1">
        <v>66</v>
      </c>
    </row>
    <row r="111" spans="1:8" x14ac:dyDescent="0.2">
      <c r="A111">
        <v>0</v>
      </c>
      <c r="B111" t="s">
        <v>0</v>
      </c>
      <c r="C111" t="s">
        <v>9</v>
      </c>
      <c r="D111">
        <v>70</v>
      </c>
      <c r="E111">
        <v>64</v>
      </c>
      <c r="F111">
        <v>72</v>
      </c>
      <c r="G111">
        <v>206</v>
      </c>
      <c r="H111" s="1">
        <v>68.6666666666666</v>
      </c>
    </row>
    <row r="112" spans="1:8" x14ac:dyDescent="0.2">
      <c r="A112">
        <v>0</v>
      </c>
      <c r="B112" t="s">
        <v>7</v>
      </c>
      <c r="C112" t="s">
        <v>6</v>
      </c>
      <c r="D112">
        <v>77</v>
      </c>
      <c r="E112">
        <v>89</v>
      </c>
      <c r="F112">
        <v>98</v>
      </c>
      <c r="G112">
        <v>264</v>
      </c>
      <c r="H112" s="1">
        <v>88</v>
      </c>
    </row>
    <row r="113" spans="1:8" x14ac:dyDescent="0.2">
      <c r="A113">
        <v>1</v>
      </c>
      <c r="B113" t="s">
        <v>2</v>
      </c>
      <c r="C113" t="s">
        <v>8</v>
      </c>
      <c r="D113">
        <v>62</v>
      </c>
      <c r="E113">
        <v>55</v>
      </c>
      <c r="F113">
        <v>49</v>
      </c>
      <c r="G113">
        <v>166</v>
      </c>
      <c r="H113" s="1">
        <v>55.3333333333333</v>
      </c>
    </row>
    <row r="114" spans="1:8" x14ac:dyDescent="0.2">
      <c r="A114">
        <v>1</v>
      </c>
      <c r="B114" t="s">
        <v>5</v>
      </c>
      <c r="C114" t="s">
        <v>6</v>
      </c>
      <c r="D114">
        <v>54</v>
      </c>
      <c r="E114">
        <v>53</v>
      </c>
      <c r="F114">
        <v>47</v>
      </c>
      <c r="G114">
        <v>154</v>
      </c>
      <c r="H114" s="1">
        <v>51.3333333333333</v>
      </c>
    </row>
    <row r="115" spans="1:8" x14ac:dyDescent="0.2">
      <c r="A115">
        <v>0</v>
      </c>
      <c r="B115" t="s">
        <v>7</v>
      </c>
      <c r="C115" t="s">
        <v>3</v>
      </c>
      <c r="D115">
        <v>51</v>
      </c>
      <c r="E115">
        <v>58</v>
      </c>
      <c r="F115">
        <v>54</v>
      </c>
      <c r="G115">
        <v>163</v>
      </c>
      <c r="H115" s="1">
        <v>54.3333333333333</v>
      </c>
    </row>
    <row r="116" spans="1:8" x14ac:dyDescent="0.2">
      <c r="A116">
        <v>0</v>
      </c>
      <c r="B116" t="s">
        <v>10</v>
      </c>
      <c r="C116" t="s">
        <v>1</v>
      </c>
      <c r="D116">
        <v>99</v>
      </c>
      <c r="E116">
        <v>100</v>
      </c>
      <c r="F116">
        <v>100</v>
      </c>
      <c r="G116">
        <v>299</v>
      </c>
      <c r="H116" s="1">
        <v>99.6666666666666</v>
      </c>
    </row>
    <row r="117" spans="1:8" x14ac:dyDescent="0.2">
      <c r="A117">
        <v>1</v>
      </c>
      <c r="B117" t="s">
        <v>2</v>
      </c>
      <c r="C117" t="s">
        <v>8</v>
      </c>
      <c r="D117">
        <v>84</v>
      </c>
      <c r="E117">
        <v>77</v>
      </c>
      <c r="F117">
        <v>74</v>
      </c>
      <c r="G117">
        <v>235</v>
      </c>
      <c r="H117" s="1">
        <v>78.3333333333333</v>
      </c>
    </row>
    <row r="118" spans="1:8" x14ac:dyDescent="0.2">
      <c r="A118">
        <v>0</v>
      </c>
      <c r="B118" t="s">
        <v>0</v>
      </c>
      <c r="C118" t="s">
        <v>1</v>
      </c>
      <c r="D118">
        <v>75</v>
      </c>
      <c r="E118">
        <v>85</v>
      </c>
      <c r="F118">
        <v>82</v>
      </c>
      <c r="G118">
        <v>242</v>
      </c>
      <c r="H118" s="1">
        <v>80.6666666666666</v>
      </c>
    </row>
    <row r="119" spans="1:8" x14ac:dyDescent="0.2">
      <c r="A119">
        <v>0</v>
      </c>
      <c r="B119" t="s">
        <v>7</v>
      </c>
      <c r="C119" t="s">
        <v>1</v>
      </c>
      <c r="D119">
        <v>78</v>
      </c>
      <c r="E119">
        <v>82</v>
      </c>
      <c r="F119">
        <v>79</v>
      </c>
      <c r="G119">
        <v>239</v>
      </c>
      <c r="H119" s="1">
        <v>79.6666666666666</v>
      </c>
    </row>
    <row r="120" spans="1:8" x14ac:dyDescent="0.2">
      <c r="A120">
        <v>0</v>
      </c>
      <c r="B120" t="s">
        <v>7</v>
      </c>
      <c r="C120" t="s">
        <v>9</v>
      </c>
      <c r="D120">
        <v>51</v>
      </c>
      <c r="E120">
        <v>63</v>
      </c>
      <c r="F120">
        <v>61</v>
      </c>
      <c r="G120">
        <v>175</v>
      </c>
      <c r="H120" s="1">
        <v>58.3333333333333</v>
      </c>
    </row>
    <row r="121" spans="1:8" x14ac:dyDescent="0.2">
      <c r="A121">
        <v>0</v>
      </c>
      <c r="B121" t="s">
        <v>2</v>
      </c>
      <c r="C121" t="s">
        <v>3</v>
      </c>
      <c r="D121">
        <v>55</v>
      </c>
      <c r="E121">
        <v>69</v>
      </c>
      <c r="F121">
        <v>65</v>
      </c>
      <c r="G121">
        <v>189</v>
      </c>
      <c r="H121" s="1">
        <v>63</v>
      </c>
    </row>
    <row r="122" spans="1:8" x14ac:dyDescent="0.2">
      <c r="A122">
        <v>0</v>
      </c>
      <c r="B122" t="s">
        <v>2</v>
      </c>
      <c r="C122" t="s">
        <v>1</v>
      </c>
      <c r="D122">
        <v>79</v>
      </c>
      <c r="E122">
        <v>92</v>
      </c>
      <c r="F122">
        <v>89</v>
      </c>
      <c r="G122">
        <v>260</v>
      </c>
      <c r="H122" s="1">
        <v>86.6666666666666</v>
      </c>
    </row>
    <row r="123" spans="1:8" x14ac:dyDescent="0.2">
      <c r="A123">
        <v>1</v>
      </c>
      <c r="B123" t="s">
        <v>0</v>
      </c>
      <c r="C123" t="s">
        <v>6</v>
      </c>
      <c r="D123">
        <v>91</v>
      </c>
      <c r="E123">
        <v>89</v>
      </c>
      <c r="F123">
        <v>92</v>
      </c>
      <c r="G123">
        <v>272</v>
      </c>
      <c r="H123" s="1">
        <v>90.6666666666666</v>
      </c>
    </row>
    <row r="124" spans="1:8" x14ac:dyDescent="0.2">
      <c r="A124">
        <v>0</v>
      </c>
      <c r="B124" t="s">
        <v>2</v>
      </c>
      <c r="C124" t="s">
        <v>3</v>
      </c>
      <c r="D124">
        <v>88</v>
      </c>
      <c r="E124">
        <v>93</v>
      </c>
      <c r="F124">
        <v>93</v>
      </c>
      <c r="G124">
        <v>274</v>
      </c>
      <c r="H124" s="1">
        <v>91.3333333333333</v>
      </c>
    </row>
    <row r="125" spans="1:8" x14ac:dyDescent="0.2">
      <c r="A125">
        <v>1</v>
      </c>
      <c r="B125" t="s">
        <v>7</v>
      </c>
      <c r="C125" t="s">
        <v>8</v>
      </c>
      <c r="D125">
        <v>63</v>
      </c>
      <c r="E125">
        <v>57</v>
      </c>
      <c r="F125">
        <v>56</v>
      </c>
      <c r="G125">
        <v>176</v>
      </c>
      <c r="H125" s="1">
        <v>58.6666666666666</v>
      </c>
    </row>
    <row r="126" spans="1:8" x14ac:dyDescent="0.2">
      <c r="A126">
        <v>1</v>
      </c>
      <c r="B126" t="s">
        <v>10</v>
      </c>
      <c r="C126" t="s">
        <v>3</v>
      </c>
      <c r="D126">
        <v>83</v>
      </c>
      <c r="E126">
        <v>80</v>
      </c>
      <c r="F126">
        <v>73</v>
      </c>
      <c r="G126">
        <v>236</v>
      </c>
      <c r="H126" s="1">
        <v>78.6666666666666</v>
      </c>
    </row>
    <row r="127" spans="1:8" x14ac:dyDescent="0.2">
      <c r="A127">
        <v>0</v>
      </c>
      <c r="B127" t="s">
        <v>0</v>
      </c>
      <c r="C127" t="s">
        <v>8</v>
      </c>
      <c r="D127">
        <v>87</v>
      </c>
      <c r="E127">
        <v>95</v>
      </c>
      <c r="F127">
        <v>86</v>
      </c>
      <c r="G127">
        <v>268</v>
      </c>
      <c r="H127" s="1">
        <v>89.3333333333333</v>
      </c>
    </row>
    <row r="128" spans="1:8" x14ac:dyDescent="0.2">
      <c r="A128">
        <v>1</v>
      </c>
      <c r="B128" t="s">
        <v>0</v>
      </c>
      <c r="C128" t="s">
        <v>9</v>
      </c>
      <c r="D128">
        <v>72</v>
      </c>
      <c r="E128">
        <v>68</v>
      </c>
      <c r="F128">
        <v>67</v>
      </c>
      <c r="G128">
        <v>207</v>
      </c>
      <c r="H128" s="1">
        <v>69</v>
      </c>
    </row>
    <row r="129" spans="1:8" x14ac:dyDescent="0.2">
      <c r="A129">
        <v>1</v>
      </c>
      <c r="B129" t="s">
        <v>7</v>
      </c>
      <c r="C129" t="s">
        <v>3</v>
      </c>
      <c r="D129">
        <v>65</v>
      </c>
      <c r="E129">
        <v>77</v>
      </c>
      <c r="F129">
        <v>74</v>
      </c>
      <c r="G129">
        <v>216</v>
      </c>
      <c r="H129" s="1">
        <v>72</v>
      </c>
    </row>
    <row r="130" spans="1:8" x14ac:dyDescent="0.2">
      <c r="A130">
        <v>1</v>
      </c>
      <c r="B130" t="s">
        <v>7</v>
      </c>
      <c r="C130" t="s">
        <v>4</v>
      </c>
      <c r="D130">
        <v>82</v>
      </c>
      <c r="E130">
        <v>82</v>
      </c>
      <c r="F130">
        <v>74</v>
      </c>
      <c r="G130">
        <v>238</v>
      </c>
      <c r="H130" s="1">
        <v>79.3333333333333</v>
      </c>
    </row>
    <row r="131" spans="1:8" x14ac:dyDescent="0.2">
      <c r="A131">
        <v>0</v>
      </c>
      <c r="B131" t="s">
        <v>5</v>
      </c>
      <c r="C131" t="s">
        <v>1</v>
      </c>
      <c r="D131">
        <v>51</v>
      </c>
      <c r="E131">
        <v>49</v>
      </c>
      <c r="F131">
        <v>51</v>
      </c>
      <c r="G131">
        <v>151</v>
      </c>
      <c r="H131" s="1">
        <v>50.3333333333333</v>
      </c>
    </row>
    <row r="132" spans="1:8" x14ac:dyDescent="0.2">
      <c r="A132">
        <v>1</v>
      </c>
      <c r="B132" t="s">
        <v>7</v>
      </c>
      <c r="C132" t="s">
        <v>4</v>
      </c>
      <c r="D132">
        <v>89</v>
      </c>
      <c r="E132">
        <v>84</v>
      </c>
      <c r="F132">
        <v>82</v>
      </c>
      <c r="G132">
        <v>255</v>
      </c>
      <c r="H132" s="1">
        <v>85</v>
      </c>
    </row>
    <row r="133" spans="1:8" x14ac:dyDescent="0.2">
      <c r="A133">
        <v>1</v>
      </c>
      <c r="B133" t="s">
        <v>2</v>
      </c>
      <c r="C133" t="s">
        <v>9</v>
      </c>
      <c r="D133">
        <v>53</v>
      </c>
      <c r="E133">
        <v>37</v>
      </c>
      <c r="F133">
        <v>40</v>
      </c>
      <c r="G133">
        <v>130</v>
      </c>
      <c r="H133" s="1">
        <v>43.3333333333333</v>
      </c>
    </row>
    <row r="134" spans="1:8" x14ac:dyDescent="0.2">
      <c r="A134">
        <v>1</v>
      </c>
      <c r="B134" t="s">
        <v>10</v>
      </c>
      <c r="C134" t="s">
        <v>3</v>
      </c>
      <c r="D134">
        <v>87</v>
      </c>
      <c r="E134">
        <v>74</v>
      </c>
      <c r="F134">
        <v>70</v>
      </c>
      <c r="G134">
        <v>231</v>
      </c>
      <c r="H134" s="1">
        <v>77</v>
      </c>
    </row>
    <row r="135" spans="1:8" x14ac:dyDescent="0.2">
      <c r="A135">
        <v>0</v>
      </c>
      <c r="B135" t="s">
        <v>2</v>
      </c>
      <c r="C135" t="s">
        <v>3</v>
      </c>
      <c r="D135">
        <v>75</v>
      </c>
      <c r="E135">
        <v>81</v>
      </c>
      <c r="F135">
        <v>84</v>
      </c>
      <c r="G135">
        <v>240</v>
      </c>
      <c r="H135" s="1">
        <v>80</v>
      </c>
    </row>
    <row r="136" spans="1:8" x14ac:dyDescent="0.2">
      <c r="A136">
        <v>1</v>
      </c>
      <c r="B136" t="s">
        <v>7</v>
      </c>
      <c r="C136" t="s">
        <v>1</v>
      </c>
      <c r="D136">
        <v>74</v>
      </c>
      <c r="E136">
        <v>79</v>
      </c>
      <c r="F136">
        <v>75</v>
      </c>
      <c r="G136">
        <v>228</v>
      </c>
      <c r="H136" s="1">
        <v>76</v>
      </c>
    </row>
    <row r="137" spans="1:8" x14ac:dyDescent="0.2">
      <c r="A137">
        <v>1</v>
      </c>
      <c r="B137" t="s">
        <v>2</v>
      </c>
      <c r="C137" t="s">
        <v>1</v>
      </c>
      <c r="D137">
        <v>58</v>
      </c>
      <c r="E137">
        <v>55</v>
      </c>
      <c r="F137">
        <v>48</v>
      </c>
      <c r="G137">
        <v>161</v>
      </c>
      <c r="H137" s="1">
        <v>53.6666666666666</v>
      </c>
    </row>
    <row r="138" spans="1:8" x14ac:dyDescent="0.2">
      <c r="A138">
        <v>1</v>
      </c>
      <c r="B138" t="s">
        <v>0</v>
      </c>
      <c r="C138" t="s">
        <v>9</v>
      </c>
      <c r="D138">
        <v>51</v>
      </c>
      <c r="E138">
        <v>54</v>
      </c>
      <c r="F138">
        <v>41</v>
      </c>
      <c r="G138">
        <v>146</v>
      </c>
      <c r="H138" s="1">
        <v>48.6666666666666</v>
      </c>
    </row>
    <row r="139" spans="1:8" x14ac:dyDescent="0.2">
      <c r="A139">
        <v>1</v>
      </c>
      <c r="B139" t="s">
        <v>10</v>
      </c>
      <c r="C139" t="s">
        <v>8</v>
      </c>
      <c r="D139">
        <v>70</v>
      </c>
      <c r="E139">
        <v>55</v>
      </c>
      <c r="F139">
        <v>56</v>
      </c>
      <c r="G139">
        <v>181</v>
      </c>
      <c r="H139" s="1">
        <v>60.3333333333333</v>
      </c>
    </row>
    <row r="140" spans="1:8" x14ac:dyDescent="0.2">
      <c r="A140">
        <v>0</v>
      </c>
      <c r="B140" t="s">
        <v>2</v>
      </c>
      <c r="C140" t="s">
        <v>6</v>
      </c>
      <c r="D140">
        <v>59</v>
      </c>
      <c r="E140">
        <v>66</v>
      </c>
      <c r="F140">
        <v>67</v>
      </c>
      <c r="G140">
        <v>192</v>
      </c>
      <c r="H140" s="1">
        <v>64</v>
      </c>
    </row>
    <row r="141" spans="1:8" x14ac:dyDescent="0.2">
      <c r="A141">
        <v>1</v>
      </c>
      <c r="B141" t="s">
        <v>7</v>
      </c>
      <c r="C141" t="s">
        <v>3</v>
      </c>
      <c r="D141">
        <v>71</v>
      </c>
      <c r="E141">
        <v>61</v>
      </c>
      <c r="F141">
        <v>69</v>
      </c>
      <c r="G141">
        <v>201</v>
      </c>
      <c r="H141" s="1">
        <v>67</v>
      </c>
    </row>
    <row r="142" spans="1:8" x14ac:dyDescent="0.2">
      <c r="A142">
        <v>0</v>
      </c>
      <c r="B142" t="s">
        <v>7</v>
      </c>
      <c r="C142" t="s">
        <v>9</v>
      </c>
      <c r="D142">
        <v>76</v>
      </c>
      <c r="E142">
        <v>72</v>
      </c>
      <c r="F142">
        <v>71</v>
      </c>
      <c r="G142">
        <v>219</v>
      </c>
      <c r="H142" s="1">
        <v>73</v>
      </c>
    </row>
    <row r="143" spans="1:8" x14ac:dyDescent="0.2">
      <c r="A143">
        <v>0</v>
      </c>
      <c r="B143" t="s">
        <v>2</v>
      </c>
      <c r="C143" t="s">
        <v>3</v>
      </c>
      <c r="D143">
        <v>59</v>
      </c>
      <c r="E143">
        <v>62</v>
      </c>
      <c r="F143">
        <v>64</v>
      </c>
      <c r="G143">
        <v>185</v>
      </c>
      <c r="H143" s="1">
        <v>61.6666666666666</v>
      </c>
    </row>
    <row r="144" spans="1:8" x14ac:dyDescent="0.2">
      <c r="A144">
        <v>0</v>
      </c>
      <c r="B144" t="s">
        <v>10</v>
      </c>
      <c r="C144" t="s">
        <v>3</v>
      </c>
      <c r="D144">
        <v>42</v>
      </c>
      <c r="E144">
        <v>55</v>
      </c>
      <c r="F144">
        <v>54</v>
      </c>
      <c r="G144">
        <v>151</v>
      </c>
      <c r="H144" s="1">
        <v>50.3333333333333</v>
      </c>
    </row>
    <row r="145" spans="1:8" x14ac:dyDescent="0.2">
      <c r="A145">
        <v>1</v>
      </c>
      <c r="B145" t="s">
        <v>5</v>
      </c>
      <c r="C145" t="s">
        <v>8</v>
      </c>
      <c r="D145">
        <v>57</v>
      </c>
      <c r="E145">
        <v>43</v>
      </c>
      <c r="F145">
        <v>47</v>
      </c>
      <c r="G145">
        <v>147</v>
      </c>
      <c r="H145" s="1">
        <v>49</v>
      </c>
    </row>
    <row r="146" spans="1:8" x14ac:dyDescent="0.2">
      <c r="A146">
        <v>1</v>
      </c>
      <c r="B146" t="s">
        <v>7</v>
      </c>
      <c r="C146" t="s">
        <v>3</v>
      </c>
      <c r="D146">
        <v>88</v>
      </c>
      <c r="E146">
        <v>73</v>
      </c>
      <c r="F146">
        <v>78</v>
      </c>
      <c r="G146">
        <v>239</v>
      </c>
      <c r="H146" s="1">
        <v>79.6666666666666</v>
      </c>
    </row>
    <row r="147" spans="1:8" x14ac:dyDescent="0.2">
      <c r="A147">
        <v>0</v>
      </c>
      <c r="B147" t="s">
        <v>2</v>
      </c>
      <c r="C147" t="s">
        <v>3</v>
      </c>
      <c r="D147">
        <v>22</v>
      </c>
      <c r="E147">
        <v>39</v>
      </c>
      <c r="F147">
        <v>33</v>
      </c>
      <c r="G147">
        <v>94</v>
      </c>
      <c r="H147" s="1">
        <v>31.3333333333333</v>
      </c>
    </row>
    <row r="148" spans="1:8" x14ac:dyDescent="0.2">
      <c r="A148">
        <v>1</v>
      </c>
      <c r="B148" t="s">
        <v>0</v>
      </c>
      <c r="C148" t="s">
        <v>9</v>
      </c>
      <c r="D148">
        <v>88</v>
      </c>
      <c r="E148">
        <v>84</v>
      </c>
      <c r="F148">
        <v>75</v>
      </c>
      <c r="G148">
        <v>247</v>
      </c>
      <c r="H148" s="1">
        <v>82.3333333333333</v>
      </c>
    </row>
    <row r="149" spans="1:8" x14ac:dyDescent="0.2">
      <c r="A149">
        <v>1</v>
      </c>
      <c r="B149" t="s">
        <v>2</v>
      </c>
      <c r="C149" t="s">
        <v>6</v>
      </c>
      <c r="D149">
        <v>73</v>
      </c>
      <c r="E149">
        <v>68</v>
      </c>
      <c r="F149">
        <v>66</v>
      </c>
      <c r="G149">
        <v>207</v>
      </c>
      <c r="H149" s="1">
        <v>69</v>
      </c>
    </row>
    <row r="150" spans="1:8" x14ac:dyDescent="0.2">
      <c r="A150">
        <v>0</v>
      </c>
      <c r="B150" t="s">
        <v>7</v>
      </c>
      <c r="C150" t="s">
        <v>1</v>
      </c>
      <c r="D150">
        <v>68</v>
      </c>
      <c r="E150">
        <v>75</v>
      </c>
      <c r="F150">
        <v>81</v>
      </c>
      <c r="G150">
        <v>224</v>
      </c>
      <c r="H150" s="1">
        <v>74.6666666666666</v>
      </c>
    </row>
    <row r="151" spans="1:8" x14ac:dyDescent="0.2">
      <c r="A151">
        <v>1</v>
      </c>
      <c r="B151" t="s">
        <v>10</v>
      </c>
      <c r="C151" t="s">
        <v>6</v>
      </c>
      <c r="D151">
        <v>100</v>
      </c>
      <c r="E151">
        <v>100</v>
      </c>
      <c r="F151">
        <v>93</v>
      </c>
      <c r="G151">
        <v>293</v>
      </c>
      <c r="H151" s="1">
        <v>97.6666666666666</v>
      </c>
    </row>
    <row r="152" spans="1:8" x14ac:dyDescent="0.2">
      <c r="A152">
        <v>1</v>
      </c>
      <c r="B152" t="s">
        <v>5</v>
      </c>
      <c r="C152" t="s">
        <v>9</v>
      </c>
      <c r="D152">
        <v>62</v>
      </c>
      <c r="E152">
        <v>67</v>
      </c>
      <c r="F152">
        <v>69</v>
      </c>
      <c r="G152">
        <v>198</v>
      </c>
      <c r="H152" s="1">
        <v>66</v>
      </c>
    </row>
    <row r="153" spans="1:8" x14ac:dyDescent="0.2">
      <c r="A153">
        <v>1</v>
      </c>
      <c r="B153" t="s">
        <v>5</v>
      </c>
      <c r="C153" t="s">
        <v>1</v>
      </c>
      <c r="D153">
        <v>77</v>
      </c>
      <c r="E153">
        <v>67</v>
      </c>
      <c r="F153">
        <v>68</v>
      </c>
      <c r="G153">
        <v>212</v>
      </c>
      <c r="H153" s="1">
        <v>70.6666666666666</v>
      </c>
    </row>
    <row r="154" spans="1:8" x14ac:dyDescent="0.2">
      <c r="A154">
        <v>0</v>
      </c>
      <c r="B154" t="s">
        <v>0</v>
      </c>
      <c r="C154" t="s">
        <v>6</v>
      </c>
      <c r="D154">
        <v>59</v>
      </c>
      <c r="E154">
        <v>70</v>
      </c>
      <c r="F154">
        <v>66</v>
      </c>
      <c r="G154">
        <v>195</v>
      </c>
      <c r="H154" s="1">
        <v>65</v>
      </c>
    </row>
    <row r="155" spans="1:8" x14ac:dyDescent="0.2">
      <c r="A155">
        <v>1</v>
      </c>
      <c r="B155" t="s">
        <v>7</v>
      </c>
      <c r="C155" t="s">
        <v>1</v>
      </c>
      <c r="D155">
        <v>54</v>
      </c>
      <c r="E155">
        <v>49</v>
      </c>
      <c r="F155">
        <v>47</v>
      </c>
      <c r="G155">
        <v>150</v>
      </c>
      <c r="H155" s="1">
        <v>50</v>
      </c>
    </row>
    <row r="156" spans="1:8" x14ac:dyDescent="0.2">
      <c r="A156">
        <v>1</v>
      </c>
      <c r="B156" t="s">
        <v>7</v>
      </c>
      <c r="C156" t="s">
        <v>9</v>
      </c>
      <c r="D156">
        <v>62</v>
      </c>
      <c r="E156">
        <v>67</v>
      </c>
      <c r="F156">
        <v>61</v>
      </c>
      <c r="G156">
        <v>190</v>
      </c>
      <c r="H156" s="1">
        <v>63.3333333333333</v>
      </c>
    </row>
    <row r="157" spans="1:8" x14ac:dyDescent="0.2">
      <c r="A157">
        <v>0</v>
      </c>
      <c r="B157" t="s">
        <v>2</v>
      </c>
      <c r="C157" t="s">
        <v>3</v>
      </c>
      <c r="D157">
        <v>70</v>
      </c>
      <c r="E157">
        <v>89</v>
      </c>
      <c r="F157">
        <v>88</v>
      </c>
      <c r="G157">
        <v>247</v>
      </c>
      <c r="H157" s="1">
        <v>82.3333333333333</v>
      </c>
    </row>
    <row r="158" spans="1:8" x14ac:dyDescent="0.2">
      <c r="A158">
        <v>0</v>
      </c>
      <c r="B158" t="s">
        <v>10</v>
      </c>
      <c r="C158" t="s">
        <v>8</v>
      </c>
      <c r="D158">
        <v>66</v>
      </c>
      <c r="E158">
        <v>74</v>
      </c>
      <c r="F158">
        <v>78</v>
      </c>
      <c r="G158">
        <v>218</v>
      </c>
      <c r="H158" s="1">
        <v>72.6666666666666</v>
      </c>
    </row>
    <row r="159" spans="1:8" x14ac:dyDescent="0.2">
      <c r="A159">
        <v>1</v>
      </c>
      <c r="B159" t="s">
        <v>0</v>
      </c>
      <c r="C159" t="s">
        <v>3</v>
      </c>
      <c r="D159">
        <v>60</v>
      </c>
      <c r="E159">
        <v>60</v>
      </c>
      <c r="F159">
        <v>60</v>
      </c>
      <c r="G159">
        <v>180</v>
      </c>
      <c r="H159" s="1">
        <v>60</v>
      </c>
    </row>
    <row r="160" spans="1:8" x14ac:dyDescent="0.2">
      <c r="A160">
        <v>0</v>
      </c>
      <c r="B160" t="s">
        <v>0</v>
      </c>
      <c r="C160" t="s">
        <v>6</v>
      </c>
      <c r="D160">
        <v>61</v>
      </c>
      <c r="E160">
        <v>86</v>
      </c>
      <c r="F160">
        <v>87</v>
      </c>
      <c r="G160">
        <v>234</v>
      </c>
      <c r="H160" s="1">
        <v>78</v>
      </c>
    </row>
    <row r="161" spans="1:8" x14ac:dyDescent="0.2">
      <c r="A161">
        <v>1</v>
      </c>
      <c r="B161" t="s">
        <v>7</v>
      </c>
      <c r="C161" t="s">
        <v>6</v>
      </c>
      <c r="D161">
        <v>66</v>
      </c>
      <c r="E161">
        <v>62</v>
      </c>
      <c r="F161">
        <v>64</v>
      </c>
      <c r="G161">
        <v>192</v>
      </c>
      <c r="H161" s="1">
        <v>64</v>
      </c>
    </row>
    <row r="162" spans="1:8" x14ac:dyDescent="0.2">
      <c r="A162">
        <v>1</v>
      </c>
      <c r="B162" t="s">
        <v>0</v>
      </c>
      <c r="C162" t="s">
        <v>6</v>
      </c>
      <c r="D162">
        <v>82</v>
      </c>
      <c r="E162">
        <v>78</v>
      </c>
      <c r="F162">
        <v>74</v>
      </c>
      <c r="G162">
        <v>234</v>
      </c>
      <c r="H162" s="1">
        <v>78</v>
      </c>
    </row>
    <row r="163" spans="1:8" x14ac:dyDescent="0.2">
      <c r="A163">
        <v>0</v>
      </c>
      <c r="B163" t="s">
        <v>10</v>
      </c>
      <c r="C163" t="s">
        <v>3</v>
      </c>
      <c r="D163">
        <v>75</v>
      </c>
      <c r="E163">
        <v>88</v>
      </c>
      <c r="F163">
        <v>85</v>
      </c>
      <c r="G163">
        <v>248</v>
      </c>
      <c r="H163" s="1">
        <v>82.6666666666666</v>
      </c>
    </row>
    <row r="164" spans="1:8" x14ac:dyDescent="0.2">
      <c r="A164">
        <v>1</v>
      </c>
      <c r="B164" t="s">
        <v>0</v>
      </c>
      <c r="C164" t="s">
        <v>4</v>
      </c>
      <c r="D164">
        <v>49</v>
      </c>
      <c r="E164">
        <v>53</v>
      </c>
      <c r="F164">
        <v>52</v>
      </c>
      <c r="G164">
        <v>154</v>
      </c>
      <c r="H164" s="1">
        <v>51.3333333333333</v>
      </c>
    </row>
    <row r="165" spans="1:8" x14ac:dyDescent="0.2">
      <c r="A165">
        <v>1</v>
      </c>
      <c r="B165" t="s">
        <v>2</v>
      </c>
      <c r="C165" t="s">
        <v>8</v>
      </c>
      <c r="D165">
        <v>52</v>
      </c>
      <c r="E165">
        <v>53</v>
      </c>
      <c r="F165">
        <v>49</v>
      </c>
      <c r="G165">
        <v>154</v>
      </c>
      <c r="H165" s="1">
        <v>51.3333333333333</v>
      </c>
    </row>
    <row r="166" spans="1:8" x14ac:dyDescent="0.2">
      <c r="A166">
        <v>0</v>
      </c>
      <c r="B166" t="s">
        <v>10</v>
      </c>
      <c r="C166" t="s">
        <v>4</v>
      </c>
      <c r="D166">
        <v>81</v>
      </c>
      <c r="E166">
        <v>92</v>
      </c>
      <c r="F166">
        <v>91</v>
      </c>
      <c r="G166">
        <v>264</v>
      </c>
      <c r="H166" s="1">
        <v>88</v>
      </c>
    </row>
    <row r="167" spans="1:8" x14ac:dyDescent="0.2">
      <c r="A167">
        <v>0</v>
      </c>
      <c r="B167" t="s">
        <v>2</v>
      </c>
      <c r="C167" t="s">
        <v>1</v>
      </c>
      <c r="D167">
        <v>96</v>
      </c>
      <c r="E167">
        <v>100</v>
      </c>
      <c r="F167">
        <v>100</v>
      </c>
      <c r="G167">
        <v>296</v>
      </c>
      <c r="H167" s="1">
        <v>98.6666666666666</v>
      </c>
    </row>
    <row r="168" spans="1:8" x14ac:dyDescent="0.2">
      <c r="A168">
        <v>1</v>
      </c>
      <c r="B168" t="s">
        <v>2</v>
      </c>
      <c r="C168" t="s">
        <v>8</v>
      </c>
      <c r="D168">
        <v>53</v>
      </c>
      <c r="E168">
        <v>51</v>
      </c>
      <c r="F168">
        <v>51</v>
      </c>
      <c r="G168">
        <v>155</v>
      </c>
      <c r="H168" s="1">
        <v>51.6666666666666</v>
      </c>
    </row>
    <row r="169" spans="1:8" x14ac:dyDescent="0.2">
      <c r="A169">
        <v>0</v>
      </c>
      <c r="B169" t="s">
        <v>0</v>
      </c>
      <c r="C169" t="s">
        <v>4</v>
      </c>
      <c r="D169">
        <v>58</v>
      </c>
      <c r="E169">
        <v>76</v>
      </c>
      <c r="F169">
        <v>78</v>
      </c>
      <c r="G169">
        <v>212</v>
      </c>
      <c r="H169" s="1">
        <v>70.6666666666666</v>
      </c>
    </row>
    <row r="170" spans="1:8" x14ac:dyDescent="0.2">
      <c r="A170">
        <v>0</v>
      </c>
      <c r="B170" t="s">
        <v>0</v>
      </c>
      <c r="C170" t="s">
        <v>8</v>
      </c>
      <c r="D170">
        <v>68</v>
      </c>
      <c r="E170">
        <v>83</v>
      </c>
      <c r="F170">
        <v>78</v>
      </c>
      <c r="G170">
        <v>229</v>
      </c>
      <c r="H170" s="1">
        <v>76.3333333333333</v>
      </c>
    </row>
    <row r="171" spans="1:8" x14ac:dyDescent="0.2">
      <c r="A171">
        <v>0</v>
      </c>
      <c r="B171" t="s">
        <v>2</v>
      </c>
      <c r="C171" t="s">
        <v>3</v>
      </c>
      <c r="D171">
        <v>67</v>
      </c>
      <c r="E171">
        <v>75</v>
      </c>
      <c r="F171">
        <v>70</v>
      </c>
      <c r="G171">
        <v>212</v>
      </c>
      <c r="H171" s="1">
        <v>70.6666666666666</v>
      </c>
    </row>
    <row r="172" spans="1:8" x14ac:dyDescent="0.2">
      <c r="A172">
        <v>1</v>
      </c>
      <c r="B172" t="s">
        <v>5</v>
      </c>
      <c r="C172" t="s">
        <v>8</v>
      </c>
      <c r="D172">
        <v>72</v>
      </c>
      <c r="E172">
        <v>73</v>
      </c>
      <c r="F172">
        <v>74</v>
      </c>
      <c r="G172">
        <v>219</v>
      </c>
      <c r="H172" s="1">
        <v>73</v>
      </c>
    </row>
    <row r="173" spans="1:8" x14ac:dyDescent="0.2">
      <c r="A173">
        <v>1</v>
      </c>
      <c r="B173" t="s">
        <v>10</v>
      </c>
      <c r="C173" t="s">
        <v>9</v>
      </c>
      <c r="D173">
        <v>94</v>
      </c>
      <c r="E173">
        <v>88</v>
      </c>
      <c r="F173">
        <v>78</v>
      </c>
      <c r="G173">
        <v>260</v>
      </c>
      <c r="H173" s="1">
        <v>86.6666666666666</v>
      </c>
    </row>
    <row r="174" spans="1:8" x14ac:dyDescent="0.2">
      <c r="A174">
        <v>0</v>
      </c>
      <c r="B174" t="s">
        <v>7</v>
      </c>
      <c r="C174" t="s">
        <v>3</v>
      </c>
      <c r="D174">
        <v>79</v>
      </c>
      <c r="E174">
        <v>86</v>
      </c>
      <c r="F174">
        <v>81</v>
      </c>
      <c r="G174">
        <v>246</v>
      </c>
      <c r="H174" s="1">
        <v>82</v>
      </c>
    </row>
    <row r="175" spans="1:8" x14ac:dyDescent="0.2">
      <c r="A175">
        <v>0</v>
      </c>
      <c r="B175" t="s">
        <v>2</v>
      </c>
      <c r="C175" t="s">
        <v>6</v>
      </c>
      <c r="D175">
        <v>63</v>
      </c>
      <c r="E175">
        <v>67</v>
      </c>
      <c r="F175">
        <v>70</v>
      </c>
      <c r="G175">
        <v>200</v>
      </c>
      <c r="H175" s="1">
        <v>66.6666666666666</v>
      </c>
    </row>
    <row r="176" spans="1:8" x14ac:dyDescent="0.2">
      <c r="A176">
        <v>0</v>
      </c>
      <c r="B176" t="s">
        <v>2</v>
      </c>
      <c r="C176" t="s">
        <v>1</v>
      </c>
      <c r="D176">
        <v>43</v>
      </c>
      <c r="E176">
        <v>51</v>
      </c>
      <c r="F176">
        <v>54</v>
      </c>
      <c r="G176">
        <v>148</v>
      </c>
      <c r="H176" s="1">
        <v>49.3333333333333</v>
      </c>
    </row>
    <row r="177" spans="1:8" x14ac:dyDescent="0.2">
      <c r="A177">
        <v>0</v>
      </c>
      <c r="B177" t="s">
        <v>2</v>
      </c>
      <c r="C177" t="s">
        <v>4</v>
      </c>
      <c r="D177">
        <v>81</v>
      </c>
      <c r="E177">
        <v>91</v>
      </c>
      <c r="F177">
        <v>87</v>
      </c>
      <c r="G177">
        <v>259</v>
      </c>
      <c r="H177" s="1">
        <v>86.3333333333333</v>
      </c>
    </row>
    <row r="178" spans="1:8" x14ac:dyDescent="0.2">
      <c r="A178">
        <v>0</v>
      </c>
      <c r="B178" t="s">
        <v>0</v>
      </c>
      <c r="C178" t="s">
        <v>8</v>
      </c>
      <c r="D178">
        <v>46</v>
      </c>
      <c r="E178">
        <v>54</v>
      </c>
      <c r="F178">
        <v>58</v>
      </c>
      <c r="G178">
        <v>158</v>
      </c>
      <c r="H178" s="1">
        <v>52.6666666666666</v>
      </c>
    </row>
    <row r="179" spans="1:8" x14ac:dyDescent="0.2">
      <c r="A179">
        <v>0</v>
      </c>
      <c r="B179" t="s">
        <v>2</v>
      </c>
      <c r="C179" t="s">
        <v>6</v>
      </c>
      <c r="D179">
        <v>71</v>
      </c>
      <c r="E179">
        <v>77</v>
      </c>
      <c r="F179">
        <v>77</v>
      </c>
      <c r="G179">
        <v>225</v>
      </c>
      <c r="H179" s="1">
        <v>75</v>
      </c>
    </row>
    <row r="180" spans="1:8" x14ac:dyDescent="0.2">
      <c r="A180">
        <v>0</v>
      </c>
      <c r="B180" t="s">
        <v>0</v>
      </c>
      <c r="C180" t="s">
        <v>4</v>
      </c>
      <c r="D180">
        <v>52</v>
      </c>
      <c r="E180">
        <v>70</v>
      </c>
      <c r="F180">
        <v>62</v>
      </c>
      <c r="G180">
        <v>184</v>
      </c>
      <c r="H180" s="1">
        <v>61.3333333333333</v>
      </c>
    </row>
    <row r="181" spans="1:8" x14ac:dyDescent="0.2">
      <c r="A181">
        <v>0</v>
      </c>
      <c r="B181" t="s">
        <v>7</v>
      </c>
      <c r="C181" t="s">
        <v>9</v>
      </c>
      <c r="D181">
        <v>97</v>
      </c>
      <c r="E181">
        <v>100</v>
      </c>
      <c r="F181">
        <v>100</v>
      </c>
      <c r="G181">
        <v>297</v>
      </c>
      <c r="H181" s="1">
        <v>99</v>
      </c>
    </row>
    <row r="182" spans="1:8" x14ac:dyDescent="0.2">
      <c r="A182">
        <v>1</v>
      </c>
      <c r="B182" t="s">
        <v>2</v>
      </c>
      <c r="C182" t="s">
        <v>4</v>
      </c>
      <c r="D182">
        <v>62</v>
      </c>
      <c r="E182">
        <v>68</v>
      </c>
      <c r="F182">
        <v>75</v>
      </c>
      <c r="G182">
        <v>205</v>
      </c>
      <c r="H182" s="1">
        <v>68.3333333333333</v>
      </c>
    </row>
    <row r="183" spans="1:8" x14ac:dyDescent="0.2">
      <c r="A183">
        <v>0</v>
      </c>
      <c r="B183" t="s">
        <v>2</v>
      </c>
      <c r="C183" t="s">
        <v>3</v>
      </c>
      <c r="D183">
        <v>46</v>
      </c>
      <c r="E183">
        <v>64</v>
      </c>
      <c r="F183">
        <v>66</v>
      </c>
      <c r="G183">
        <v>176</v>
      </c>
      <c r="H183" s="1">
        <v>58.6666666666666</v>
      </c>
    </row>
    <row r="184" spans="1:8" x14ac:dyDescent="0.2">
      <c r="A184">
        <v>0</v>
      </c>
      <c r="B184" t="s">
        <v>10</v>
      </c>
      <c r="C184" t="s">
        <v>8</v>
      </c>
      <c r="D184">
        <v>50</v>
      </c>
      <c r="E184">
        <v>50</v>
      </c>
      <c r="F184">
        <v>47</v>
      </c>
      <c r="G184">
        <v>147</v>
      </c>
      <c r="H184" s="1">
        <v>49</v>
      </c>
    </row>
    <row r="185" spans="1:8" x14ac:dyDescent="0.2">
      <c r="A185">
        <v>0</v>
      </c>
      <c r="B185" t="s">
        <v>7</v>
      </c>
      <c r="C185" t="s">
        <v>6</v>
      </c>
      <c r="D185">
        <v>65</v>
      </c>
      <c r="E185">
        <v>69</v>
      </c>
      <c r="F185">
        <v>70</v>
      </c>
      <c r="G185">
        <v>204</v>
      </c>
      <c r="H185" s="1">
        <v>68</v>
      </c>
    </row>
    <row r="186" spans="1:8" x14ac:dyDescent="0.2">
      <c r="A186">
        <v>1</v>
      </c>
      <c r="B186" t="s">
        <v>2</v>
      </c>
      <c r="C186" t="s">
        <v>9</v>
      </c>
      <c r="D186">
        <v>45</v>
      </c>
      <c r="E186">
        <v>52</v>
      </c>
      <c r="F186">
        <v>49</v>
      </c>
      <c r="G186">
        <v>146</v>
      </c>
      <c r="H186" s="1">
        <v>48.6666666666666</v>
      </c>
    </row>
    <row r="187" spans="1:8" x14ac:dyDescent="0.2">
      <c r="A187">
        <v>1</v>
      </c>
      <c r="B187" t="s">
        <v>2</v>
      </c>
      <c r="C187" t="s">
        <v>6</v>
      </c>
      <c r="D187">
        <v>65</v>
      </c>
      <c r="E187">
        <v>67</v>
      </c>
      <c r="F187">
        <v>65</v>
      </c>
      <c r="G187">
        <v>197</v>
      </c>
      <c r="H187" s="1">
        <v>65.6666666666666</v>
      </c>
    </row>
    <row r="188" spans="1:8" x14ac:dyDescent="0.2">
      <c r="A188">
        <v>1</v>
      </c>
      <c r="B188" t="s">
        <v>10</v>
      </c>
      <c r="C188" t="s">
        <v>8</v>
      </c>
      <c r="D188">
        <v>80</v>
      </c>
      <c r="E188">
        <v>76</v>
      </c>
      <c r="F188">
        <v>65</v>
      </c>
      <c r="G188">
        <v>221</v>
      </c>
      <c r="H188" s="1">
        <v>73.6666666666666</v>
      </c>
    </row>
    <row r="189" spans="1:8" x14ac:dyDescent="0.2">
      <c r="A189">
        <v>1</v>
      </c>
      <c r="B189" t="s">
        <v>7</v>
      </c>
      <c r="C189" t="s">
        <v>9</v>
      </c>
      <c r="D189">
        <v>62</v>
      </c>
      <c r="E189">
        <v>66</v>
      </c>
      <c r="F189">
        <v>68</v>
      </c>
      <c r="G189">
        <v>196</v>
      </c>
      <c r="H189" s="1">
        <v>65.3333333333333</v>
      </c>
    </row>
    <row r="190" spans="1:8" x14ac:dyDescent="0.2">
      <c r="A190">
        <v>1</v>
      </c>
      <c r="B190" t="s">
        <v>0</v>
      </c>
      <c r="C190" t="s">
        <v>9</v>
      </c>
      <c r="D190">
        <v>48</v>
      </c>
      <c r="E190">
        <v>52</v>
      </c>
      <c r="F190">
        <v>45</v>
      </c>
      <c r="G190">
        <v>145</v>
      </c>
      <c r="H190" s="1">
        <v>48.3333333333333</v>
      </c>
    </row>
    <row r="191" spans="1:8" x14ac:dyDescent="0.2">
      <c r="A191">
        <v>0</v>
      </c>
      <c r="B191" t="s">
        <v>2</v>
      </c>
      <c r="C191" t="s">
        <v>1</v>
      </c>
      <c r="D191">
        <v>77</v>
      </c>
      <c r="E191">
        <v>88</v>
      </c>
      <c r="F191">
        <v>87</v>
      </c>
      <c r="G191">
        <v>252</v>
      </c>
      <c r="H191" s="1">
        <v>84</v>
      </c>
    </row>
    <row r="192" spans="1:8" x14ac:dyDescent="0.2">
      <c r="A192">
        <v>0</v>
      </c>
      <c r="B192" t="s">
        <v>10</v>
      </c>
      <c r="C192" t="s">
        <v>6</v>
      </c>
      <c r="D192">
        <v>66</v>
      </c>
      <c r="E192">
        <v>65</v>
      </c>
      <c r="F192">
        <v>69</v>
      </c>
      <c r="G192">
        <v>200</v>
      </c>
      <c r="H192" s="1">
        <v>66.6666666666666</v>
      </c>
    </row>
    <row r="193" spans="1:8" x14ac:dyDescent="0.2">
      <c r="A193">
        <v>1</v>
      </c>
      <c r="B193" t="s">
        <v>7</v>
      </c>
      <c r="C193" t="s">
        <v>3</v>
      </c>
      <c r="D193">
        <v>76</v>
      </c>
      <c r="E193">
        <v>83</v>
      </c>
      <c r="F193">
        <v>79</v>
      </c>
      <c r="G193">
        <v>238</v>
      </c>
      <c r="H193" s="1">
        <v>79.3333333333333</v>
      </c>
    </row>
    <row r="194" spans="1:8" x14ac:dyDescent="0.2">
      <c r="A194">
        <v>0</v>
      </c>
      <c r="B194" t="s">
        <v>0</v>
      </c>
      <c r="C194" t="s">
        <v>9</v>
      </c>
      <c r="D194">
        <v>62</v>
      </c>
      <c r="E194">
        <v>64</v>
      </c>
      <c r="F194">
        <v>66</v>
      </c>
      <c r="G194">
        <v>192</v>
      </c>
      <c r="H194" s="1">
        <v>64</v>
      </c>
    </row>
    <row r="195" spans="1:8" x14ac:dyDescent="0.2">
      <c r="A195">
        <v>1</v>
      </c>
      <c r="B195" t="s">
        <v>7</v>
      </c>
      <c r="C195" t="s">
        <v>3</v>
      </c>
      <c r="D195">
        <v>77</v>
      </c>
      <c r="E195">
        <v>62</v>
      </c>
      <c r="F195">
        <v>62</v>
      </c>
      <c r="G195">
        <v>201</v>
      </c>
      <c r="H195" s="1">
        <v>67</v>
      </c>
    </row>
    <row r="196" spans="1:8" x14ac:dyDescent="0.2">
      <c r="A196">
        <v>0</v>
      </c>
      <c r="B196" t="s">
        <v>2</v>
      </c>
      <c r="C196" t="s">
        <v>4</v>
      </c>
      <c r="D196">
        <v>69</v>
      </c>
      <c r="E196">
        <v>84</v>
      </c>
      <c r="F196">
        <v>85</v>
      </c>
      <c r="G196">
        <v>238</v>
      </c>
      <c r="H196" s="1">
        <v>79.3333333333333</v>
      </c>
    </row>
    <row r="197" spans="1:8" x14ac:dyDescent="0.2">
      <c r="A197">
        <v>1</v>
      </c>
      <c r="B197" t="s">
        <v>7</v>
      </c>
      <c r="C197" t="s">
        <v>6</v>
      </c>
      <c r="D197">
        <v>61</v>
      </c>
      <c r="E197">
        <v>55</v>
      </c>
      <c r="F197">
        <v>52</v>
      </c>
      <c r="G197">
        <v>168</v>
      </c>
      <c r="H197" s="1">
        <v>56</v>
      </c>
    </row>
    <row r="198" spans="1:8" x14ac:dyDescent="0.2">
      <c r="A198">
        <v>1</v>
      </c>
      <c r="B198" t="s">
        <v>2</v>
      </c>
      <c r="C198" t="s">
        <v>9</v>
      </c>
      <c r="D198">
        <v>59</v>
      </c>
      <c r="E198">
        <v>69</v>
      </c>
      <c r="F198">
        <v>65</v>
      </c>
      <c r="G198">
        <v>193</v>
      </c>
      <c r="H198" s="1">
        <v>64.3333333333333</v>
      </c>
    </row>
    <row r="199" spans="1:8" x14ac:dyDescent="0.2">
      <c r="A199">
        <v>1</v>
      </c>
      <c r="B199" t="s">
        <v>10</v>
      </c>
      <c r="C199" t="s">
        <v>8</v>
      </c>
      <c r="D199">
        <v>55</v>
      </c>
      <c r="E199">
        <v>56</v>
      </c>
      <c r="F199">
        <v>51</v>
      </c>
      <c r="G199">
        <v>162</v>
      </c>
      <c r="H199" s="1">
        <v>54</v>
      </c>
    </row>
    <row r="200" spans="1:8" x14ac:dyDescent="0.2">
      <c r="A200">
        <v>0</v>
      </c>
      <c r="B200" t="s">
        <v>0</v>
      </c>
      <c r="C200" t="s">
        <v>3</v>
      </c>
      <c r="D200">
        <v>45</v>
      </c>
      <c r="E200">
        <v>53</v>
      </c>
      <c r="F200">
        <v>55</v>
      </c>
      <c r="G200">
        <v>153</v>
      </c>
      <c r="H200" s="1">
        <v>51</v>
      </c>
    </row>
  </sheetData>
  <pageMargins left="0.7" right="0.7" top="0.75" bottom="0.75" header="0.3" footer="0.3"/>
  <drawing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dcterms:created xsi:type="dcterms:W3CDTF">2024-12-20T02:36:08Z</dcterms:created>
  <dcterms:modified xsi:type="dcterms:W3CDTF">2025-11-05T02:47:36Z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2025-04-02T03:18:20Z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c8c8c20e-13bd-4e33-ba55-fd51df10cd03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